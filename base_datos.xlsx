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36a87487cd4c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Datos" sheetId="1" r:id="R68e4cc1afdcd444c"/>
    <x:sheet xmlns:r="http://schemas.openxmlformats.org/officeDocument/2006/relationships" name="Datos_Largos" sheetId="2" r:id="R2783c59c875e4923"/>
    <x:sheet xmlns:r="http://schemas.openxmlformats.org/officeDocument/2006/relationships" name="Listas_Calculadora" sheetId="3" r:id="R6af610f34b1f4639"/>
    <x:sheet xmlns:r="http://schemas.openxmlformats.org/officeDocument/2006/relationships" name="Actividad_Descriptiva" sheetId="4" r:id="R6ac4f85f81424391"/>
    <x:sheet xmlns:r="http://schemas.openxmlformats.org/officeDocument/2006/relationships" name="Resumen_Descriptivo" sheetId="5" r:id="Reaae955386c3459a"/>
    <x:sheet xmlns:r="http://schemas.openxmlformats.org/officeDocument/2006/relationships" name="Verificacion_Docente" sheetId="6" r:id="R256d6c98e8db4c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0.000000E+00"/>
  </x:numFmts>
  <x:fonts count="5">
    <x:font>
      <x:sz val="11"/>
      <x:name val="Carlito"/>
    </x:font>
    <x:font>
      <x:b/>
      <x:sz val="18"/>
      <x:color rgb="111827"/>
      <x:name val="Carlito"/>
    </x:font>
    <x:font>
      <x:i/>
      <x:sz val="11"/>
      <x:color rgb="4B5563"/>
      <x:name val="Carlito"/>
    </x:font>
    <x:font>
      <x:b/>
      <x:sz val="11"/>
      <x:color rgb="FFFFFF"/>
      <x:name val="Carlito"/>
    </x:font>
    <x:font>
      <x:b/>
      <x:sz val="11"/>
      <x:color rgb="11182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6D28D9"/>
      </x:patternFill>
    </x:fill>
    <x:fill>
      <x:patternFill patternType="solid">
        <x:fgColor rgb="F3E8FF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left"/>
    </x:xf>
    <x:xf numFmtId="0" fontId="1" fillId="0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horizontal="left"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a90beb96cd4919" /><Relationship Type="http://schemas.openxmlformats.org/officeDocument/2006/relationships/theme" Target="/xl/theme/theme1.xml" Id="R80e41d9533754db2" /><Relationship Type="http://schemas.openxmlformats.org/officeDocument/2006/relationships/sharedStrings" Target="/xl/sharedStrings.xml" Id="R0b008919e1304b3e" /><Relationship Type="http://schemas.openxmlformats.org/officeDocument/2006/relationships/worksheet" Target="/xl/worksheets/sheet1.xml" Id="R68e4cc1afdcd444c" /><Relationship Type="http://schemas.openxmlformats.org/officeDocument/2006/relationships/worksheet" Target="/xl/worksheets/sheet2.xml" Id="R2783c59c875e4923" /><Relationship Type="http://schemas.openxmlformats.org/officeDocument/2006/relationships/worksheet" Target="/xl/worksheets/sheet3.xml" Id="R6af610f34b1f4639" /><Relationship Type="http://schemas.openxmlformats.org/officeDocument/2006/relationships/worksheet" Target="/xl/worksheets/sheet4.xml" Id="R6ac4f85f81424391" /><Relationship Type="http://schemas.openxmlformats.org/officeDocument/2006/relationships/worksheet" Target="/xl/worksheets/sheet5.xml" Id="Reaae955386c3459a" /><Relationship Type="http://schemas.openxmlformats.org/officeDocument/2006/relationships/worksheet" Target="/xl/worksheets/sheet6.xml" Id="R256d6c98e8db4ca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23d980f6d1e4824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Media Pre</c:v>
          </c:tx>
          <c:cat>
            <c:strRef>
              <c:f>'Resumen_Descriptivo'!$A$14:$A$15</c:f>
              <c:strCache>
                <c:ptCount val="0"/>
              </c:strCache>
            </c:strRef>
          </c:cat>
          <c:val>
            <c:numRef>
              <c:f>'Resumen_Descriptivo'!$B$14:$B$15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Media Pos</c:v>
          </c:tx>
          <c:cat>
            <c:strRef>
              <c:f>'Resumen_Descriptivo'!$A$14:$A$15</c:f>
              <c:strCache>
                <c:ptCount val="0"/>
              </c:strCache>
            </c:strRef>
          </c:cat>
          <c:val>
            <c:numRef>
              <c:f>'Resumen_Descriptivo'!$C$14:$C$15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15</xdr:col>
      <xdr:colOff>0</xdr:colOff>
      <xdr:row>1</xdr:row>
      <xdr:rowOff>0</xdr:rowOff>
    </xdr:from>
    <xdr:to>
      <xdr:col>23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23d980f6d1e482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aseDatosTabla" displayName="BaseDatosTabla" ref="A4:F80" headerRowCount="1">
  <x:tableColumns count="6">
    <x:tableColumn id="1" name="ID"/>
    <x:tableColumn id="2" name="Grupo"/>
    <x:tableColumn id="3" name="Estudiante"/>
    <x:tableColumn id="4" name="Pre_Matemáticas"/>
    <x:tableColumn id="5" name="Pos_Matemáticas"/>
    <x:tableColumn id="6" name="Ganancia"/>
  </x:tableColumns>
  <x:tableStyleInfo name="TableStyleMedium2" showRowStripes="1"/>
</x:table>
</file>

<file path=xl/tables/table2.xml><?xml version="1.0" encoding="utf-8"?>
<x:table xmlns:x="http://schemas.openxmlformats.org/spreadsheetml/2006/main" id="2" name="DatosLargosTabla" displayName="DatosLargosTabla" ref="A4:D156" headerRowCount="1">
  <x:tableColumns count="4">
    <x:tableColumn id="1" name="ID"/>
    <x:tableColumn id="2" name="Grupo"/>
    <x:tableColumn id="3" name="Momento"/>
    <x:tableColumn id="4" name="Puntaje"/>
  </x:tableColumns>
  <x:tableStyleInfo name="TableStyleMedium2" showRowStripes="1"/>
</x:table>
</file>

<file path=xl/tables/table3.xml><?xml version="1.0" encoding="utf-8"?>
<x:table xmlns:x="http://schemas.openxmlformats.org/spreadsheetml/2006/main" id="3" name="ListasCalculadoraTabla" displayName="ListasCalculadoraTabla" ref="A4:C10" headerRowCount="1">
  <x:tableColumns count="3">
    <x:tableColumn id="1" name="Variable"/>
    <x:tableColumn id="2" name="Condición"/>
    <x:tableColumn id="3" name="Lista separada por comas"/>
  </x:tableColumns>
  <x:tableStyleInfo name="TableStyleMedium2" showRowStripes="1"/>
</x:table>
</file>

<file path=xl/tables/table4.xml><?xml version="1.0" encoding="utf-8"?>
<x:table xmlns:x="http://schemas.openxmlformats.org/spreadsheetml/2006/main" id="4" name="DiccionarioTabla" displayName="DiccionarioTabla" ref="D3:G7" headerRowCount="1">
  <x:tableColumns count="4">
    <x:tableColumn id="1" name="Variable"/>
    <x:tableColumn id="2" name="Descripción"/>
    <x:tableColumn id="3" name="Escala"/>
    <x:tableColumn id="4" name="Uso sugerido"/>
  </x:tableColumns>
  <x:tableStyleInfo name="TableStyleMedium2" showRowStripes="1"/>
</x:table>
</file>

<file path=xl/tables/table5.xml><?xml version="1.0" encoding="utf-8"?>
<x:table xmlns:x="http://schemas.openxmlformats.org/spreadsheetml/2006/main" id="5" name="DescriptivosTabla" displayName="DescriptivosTabla" ref="A4:N10" headerRowCount="1">
  <x:tableColumns count="14">
    <x:tableColumn id="1" name="Variable"/>
    <x:tableColumn id="2" name="n"/>
    <x:tableColumn id="3" name="Media"/>
    <x:tableColumn id="4" name="Mediana"/>
    <x:tableColumn id="5" name="Moda"/>
    <x:tableColumn id="6" name="Desv.Est."/>
    <x:tableColumn id="7" name="Mín"/>
    <x:tableColumn id="8" name="Q1"/>
    <x:tableColumn id="9" name="Q3"/>
    <x:tableColumn id="10" name="IQR"/>
    <x:tableColumn id="11" name="Máx"/>
    <x:tableColumn id="12" name="Sesgo"/>
    <x:tableColumn id="13" name="Curtosis"/>
    <x:tableColumn id="14" name="Outliers Tukey"/>
  </x:tableColumns>
  <x:tableStyleInfo name="TableStyleMedium2" showRowStripes="1"/>
</x:table>
</file>

<file path=xl/tables/table6.xml><?xml version="1.0" encoding="utf-8"?>
<x:table xmlns:x="http://schemas.openxmlformats.org/spreadsheetml/2006/main" id="6" name="MediasTabla" displayName="MediasTabla" ref="A13:D15" headerRowCount="1">
  <x:tableColumns count="4">
    <x:tableColumn id="1" name="Grupo"/>
    <x:tableColumn id="2" name="Media Pre"/>
    <x:tableColumn id="3" name="Media Pos"/>
    <x:tableColumn id="4" name="Ganancia media"/>
  </x:tableColumns>
  <x:tableStyleInfo name="TableStyleMedium2" showRowStripes="1"/>
</x:table>
</file>

<file path=xl/tables/table7.xml><?xml version="1.0" encoding="utf-8"?>
<x:table xmlns:x="http://schemas.openxmlformats.org/spreadsheetml/2006/main" id="7" name="PruebasDocenteTabla" displayName="PruebasDocenteTabla" ref="A4:E12" headerRowCount="1">
  <x:tableColumns count="5">
    <x:tableColumn id="1" name="Bloque"/>
    <x:tableColumn id="2" name="Prueba / criterio"/>
    <x:tableColumn id="3" name="p"/>
    <x:tableColumn id="4" name="Conclusión"/>
    <x:tableColumn id="5" name="Nota docente"/>
  </x:tableColumns>
  <x:tableStyleInfo name="TableStyleMedium2" showRowStripes="1"/>
</x:table>
</file>

<file path=xl/tables/table8.xml><?xml version="1.0" encoding="utf-8"?>
<x:table xmlns:x="http://schemas.openxmlformats.org/spreadsheetml/2006/main" id="8" name="OutliersDocenteTabla" displayName="OutliersDocenteTabla" ref="A15:B19" headerRowCount="1">
  <x:tableColumns count="2">
    <x:tableColumn id="1" name="Variable"/>
    <x:tableColumn id="2" name="Outliers detectados por criterio Tukey"/>
  </x:tableColumns>
  <x:tableStyleInfo name="TableStyleMedium2" showRowStripes="1"/>
</x:table>
</file>

<file path=xl/tables/table9.xml><?xml version="1.0" encoding="utf-8"?>
<x:table xmlns:x="http://schemas.openxmlformats.org/spreadsheetml/2006/main" id="9" name="CriteriosDocenteTabla" displayName="CriteriosDocenteTabla" ref="G4:H9" headerRowCount="1">
  <x:tableColumns count="2">
    <x:tableColumn id="1" name="Requisito solicitado"/>
    <x:tableColumn id="2" name="Cómo queda en la ba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db2b8ba50a4c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d11c75eee0b42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6d75611302248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ac48f700d8741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f6157c2e6f1442f1" /><Relationship Type="http://schemas.openxmlformats.org/officeDocument/2006/relationships/table" Target="/xl/tables/table5.xml" Id="R720d4151b84541ef" /><Relationship Type="http://schemas.openxmlformats.org/officeDocument/2006/relationships/table" Target="/xl/tables/table6.xml" Id="Rf5979f83015540d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03b8be0af142400c" /><Relationship Type="http://schemas.openxmlformats.org/officeDocument/2006/relationships/table" Target="/xl/tables/table8.xml" Id="Rf45231e45f24401f" /><Relationship Type="http://schemas.openxmlformats.org/officeDocument/2006/relationships/table" Target="/xl/tables/table9.xml" Id="Rfe61041cecce4c6f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2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28" customHeight="1">
      <x:c r="A1" s="4" t="str">
        <x:v>Base de datos simulada: gamificación y aprendizaje de matemáticas</x:v>
      </x:c>
      <x:c r="B1" s="4"/>
      <x:c r="C1" s="4"/>
      <x:c r="D1" s="4"/>
      <x:c r="E1" s="4"/>
      <x:c r="F1" s="4"/>
    </x:row>
    <x:row r="2" ht="36" customHeight="1">
      <x:c r="A2" s="9" t="str">
        <x:v>Datos simulados para fines didácticos. Puntajes de una prueba de competencias matemáticas de 0 a 100 puntos. N = 38 por grupo.</x:v>
      </x:c>
      <x:c r="B2" s="9"/>
      <x:c r="C2" s="9"/>
      <x:c r="D2" s="9"/>
      <x:c r="E2" s="9"/>
      <x:c r="F2" s="9"/>
    </x:row>
    <x:row r="4">
      <x:c r="A4" s="16" t="str">
        <x:v>ID</x:v>
      </x:c>
      <x:c r="B4" s="16" t="str">
        <x:v>Grupo</x:v>
      </x:c>
      <x:c r="C4" s="16" t="str">
        <x:v>Estudiante</x:v>
      </x:c>
      <x:c r="D4" s="16" t="str">
        <x:v>Pre_Matemáticas</x:v>
      </x:c>
      <x:c r="E4" s="16" t="str">
        <x:v>Pos_Matemáticas</x:v>
      </x:c>
      <x:c r="F4" s="16" t="str">
        <x:v>Ganancia</x:v>
      </x:c>
    </x:row>
    <x:row r="5">
      <x:c r="A5" s="24" t="str">
        <x:v>C01</x:v>
      </x:c>
      <x:c r="B5" s="24" t="str">
        <x:v>Control</x:v>
      </x:c>
      <x:c r="C5" s="24" t="n">
        <x:v>1</x:v>
      </x:c>
      <x:c r="D5" s="26" t="n">
        <x:v>68</x:v>
      </x:c>
      <x:c r="E5" s="26" t="n">
        <x:v>66</x:v>
      </x:c>
      <x:c r="F5" s="26" t="n">
        <x:f>E5-D5</x:f>
        <x:v>-2</x:v>
      </x:c>
    </x:row>
    <x:row r="6">
      <x:c r="A6" s="24" t="str">
        <x:v>C02</x:v>
      </x:c>
      <x:c r="B6" s="24" t="str">
        <x:v>Control</x:v>
      </x:c>
      <x:c r="C6" s="24" t="n">
        <x:v>2</x:v>
      </x:c>
      <x:c r="D6" s="26" t="n">
        <x:v>76</x:v>
      </x:c>
      <x:c r="E6" s="26" t="n">
        <x:v>81</x:v>
      </x:c>
      <x:c r="F6" s="26" t="n">
        <x:f>E6-D6</x:f>
        <x:v>5</x:v>
      </x:c>
    </x:row>
    <x:row r="7">
      <x:c r="A7" s="24" t="str">
        <x:v>C03</x:v>
      </x:c>
      <x:c r="B7" s="24" t="str">
        <x:v>Control</x:v>
      </x:c>
      <x:c r="C7" s="24" t="n">
        <x:v>3</x:v>
      </x:c>
      <x:c r="D7" s="26" t="n">
        <x:v>44</x:v>
      </x:c>
      <x:c r="E7" s="26" t="n">
        <x:v>44</x:v>
      </x:c>
      <x:c r="F7" s="26" t="n">
        <x:f>E7-D7</x:f>
        <x:v>0</x:v>
      </x:c>
    </x:row>
    <x:row r="8">
      <x:c r="A8" s="24" t="str">
        <x:v>C04</x:v>
      </x:c>
      <x:c r="B8" s="24" t="str">
        <x:v>Control</x:v>
      </x:c>
      <x:c r="C8" s="24" t="n">
        <x:v>4</x:v>
      </x:c>
      <x:c r="D8" s="26" t="n">
        <x:v>47</x:v>
      </x:c>
      <x:c r="E8" s="26" t="n">
        <x:v>45</x:v>
      </x:c>
      <x:c r="F8" s="26" t="n">
        <x:f>E8-D8</x:f>
        <x:v>-2</x:v>
      </x:c>
    </x:row>
    <x:row r="9">
      <x:c r="A9" s="24" t="str">
        <x:v>C05</x:v>
      </x:c>
      <x:c r="B9" s="24" t="str">
        <x:v>Control</x:v>
      </x:c>
      <x:c r="C9" s="24" t="n">
        <x:v>5</x:v>
      </x:c>
      <x:c r="D9" s="26" t="n">
        <x:v>11</x:v>
      </x:c>
      <x:c r="E9" s="26" t="n">
        <x:v>13</x:v>
      </x:c>
      <x:c r="F9" s="26" t="n">
        <x:f>E9-D9</x:f>
        <x:v>2</x:v>
      </x:c>
    </x:row>
    <x:row r="10">
      <x:c r="A10" s="24" t="str">
        <x:v>C06</x:v>
      </x:c>
      <x:c r="B10" s="24" t="str">
        <x:v>Control</x:v>
      </x:c>
      <x:c r="C10" s="24" t="n">
        <x:v>6</x:v>
      </x:c>
      <x:c r="D10" s="26" t="n">
        <x:v>60</x:v>
      </x:c>
      <x:c r="E10" s="26" t="n">
        <x:v>55</x:v>
      </x:c>
      <x:c r="F10" s="26" t="n">
        <x:f>E10-D10</x:f>
        <x:v>-5</x:v>
      </x:c>
    </x:row>
    <x:row r="11">
      <x:c r="A11" s="24" t="str">
        <x:v>C07</x:v>
      </x:c>
      <x:c r="B11" s="24" t="str">
        <x:v>Control</x:v>
      </x:c>
      <x:c r="C11" s="24" t="n">
        <x:v>7</x:v>
      </x:c>
      <x:c r="D11" s="26" t="n">
        <x:v>51</x:v>
      </x:c>
      <x:c r="E11" s="26" t="n">
        <x:v>56</x:v>
      </x:c>
      <x:c r="F11" s="26" t="n">
        <x:f>E11-D11</x:f>
        <x:v>5</x:v>
      </x:c>
    </x:row>
    <x:row r="12">
      <x:c r="A12" s="24" t="str">
        <x:v>C08</x:v>
      </x:c>
      <x:c r="B12" s="24" t="str">
        <x:v>Control</x:v>
      </x:c>
      <x:c r="C12" s="24" t="n">
        <x:v>8</x:v>
      </x:c>
      <x:c r="D12" s="26" t="n">
        <x:v>54</x:v>
      </x:c>
      <x:c r="E12" s="26" t="n">
        <x:v>54</x:v>
      </x:c>
      <x:c r="F12" s="26" t="n">
        <x:f>E12-D12</x:f>
        <x:v>0</x:v>
      </x:c>
    </x:row>
    <x:row r="13">
      <x:c r="A13" s="24" t="str">
        <x:v>C09</x:v>
      </x:c>
      <x:c r="B13" s="24" t="str">
        <x:v>Control</x:v>
      </x:c>
      <x:c r="C13" s="24" t="n">
        <x:v>9</x:v>
      </x:c>
      <x:c r="D13" s="26" t="n">
        <x:v>64</x:v>
      </x:c>
      <x:c r="E13" s="26" t="n">
        <x:v>64</x:v>
      </x:c>
      <x:c r="F13" s="26" t="n">
        <x:f>E13-D13</x:f>
        <x:v>0</x:v>
      </x:c>
    </x:row>
    <x:row r="14">
      <x:c r="A14" s="24" t="str">
        <x:v>C10</x:v>
      </x:c>
      <x:c r="B14" s="24" t="str">
        <x:v>Control</x:v>
      </x:c>
      <x:c r="C14" s="24" t="n">
        <x:v>10</x:v>
      </x:c>
      <x:c r="D14" s="26" t="n">
        <x:v>65</x:v>
      </x:c>
      <x:c r="E14" s="26" t="n">
        <x:v>61</x:v>
      </x:c>
      <x:c r="F14" s="26" t="n">
        <x:f>E14-D14</x:f>
        <x:v>-4</x:v>
      </x:c>
    </x:row>
    <x:row r="15">
      <x:c r="A15" s="24" t="str">
        <x:v>C11</x:v>
      </x:c>
      <x:c r="B15" s="24" t="str">
        <x:v>Control</x:v>
      </x:c>
      <x:c r="C15" s="24" t="n">
        <x:v>11</x:v>
      </x:c>
      <x:c r="D15" s="26" t="n">
        <x:v>38</x:v>
      </x:c>
      <x:c r="E15" s="26" t="n">
        <x:v>34</x:v>
      </x:c>
      <x:c r="F15" s="26" t="n">
        <x:f>E15-D15</x:f>
        <x:v>-4</x:v>
      </x:c>
    </x:row>
    <x:row r="16">
      <x:c r="A16" s="24" t="str">
        <x:v>C12</x:v>
      </x:c>
      <x:c r="B16" s="24" t="str">
        <x:v>Control</x:v>
      </x:c>
      <x:c r="C16" s="24" t="n">
        <x:v>12</x:v>
      </x:c>
      <x:c r="D16" s="26" t="n">
        <x:v>72</x:v>
      </x:c>
      <x:c r="E16" s="26" t="n">
        <x:v>72</x:v>
      </x:c>
      <x:c r="F16" s="26" t="n">
        <x:f>E16-D16</x:f>
        <x:v>0</x:v>
      </x:c>
    </x:row>
    <x:row r="17">
      <x:c r="A17" s="24" t="str">
        <x:v>C13</x:v>
      </x:c>
      <x:c r="B17" s="24" t="str">
        <x:v>Control</x:v>
      </x:c>
      <x:c r="C17" s="24" t="n">
        <x:v>13</x:v>
      </x:c>
      <x:c r="D17" s="26" t="n">
        <x:v>45</x:v>
      </x:c>
      <x:c r="E17" s="26" t="n">
        <x:v>40</x:v>
      </x:c>
      <x:c r="F17" s="26" t="n">
        <x:f>E17-D17</x:f>
        <x:v>-5</x:v>
      </x:c>
    </x:row>
    <x:row r="18">
      <x:c r="A18" s="24" t="str">
        <x:v>C14</x:v>
      </x:c>
      <x:c r="B18" s="24" t="str">
        <x:v>Control</x:v>
      </x:c>
      <x:c r="C18" s="24" t="n">
        <x:v>14</x:v>
      </x:c>
      <x:c r="D18" s="26" t="n">
        <x:v>74</x:v>
      </x:c>
      <x:c r="E18" s="26" t="n">
        <x:v>69</x:v>
      </x:c>
      <x:c r="F18" s="26" t="n">
        <x:f>E18-D18</x:f>
        <x:v>-5</x:v>
      </x:c>
    </x:row>
    <x:row r="19">
      <x:c r="A19" s="24" t="str">
        <x:v>C15</x:v>
      </x:c>
      <x:c r="B19" s="24" t="str">
        <x:v>Control</x:v>
      </x:c>
      <x:c r="C19" s="24" t="n">
        <x:v>15</x:v>
      </x:c>
      <x:c r="D19" s="26" t="n">
        <x:v>40</x:v>
      </x:c>
      <x:c r="E19" s="26" t="n">
        <x:v>45</x:v>
      </x:c>
      <x:c r="F19" s="26" t="n">
        <x:f>E19-D19</x:f>
        <x:v>5</x:v>
      </x:c>
    </x:row>
    <x:row r="20">
      <x:c r="A20" s="24" t="str">
        <x:v>C16</x:v>
      </x:c>
      <x:c r="B20" s="24" t="str">
        <x:v>Control</x:v>
      </x:c>
      <x:c r="C20" s="24" t="n">
        <x:v>16</x:v>
      </x:c>
      <x:c r="D20" s="26" t="n">
        <x:v>46</x:v>
      </x:c>
      <x:c r="E20" s="26" t="n">
        <x:v>53</x:v>
      </x:c>
      <x:c r="F20" s="26" t="n">
        <x:f>E20-D20</x:f>
        <x:v>7</x:v>
      </x:c>
    </x:row>
    <x:row r="21">
      <x:c r="A21" s="24" t="str">
        <x:v>C17</x:v>
      </x:c>
      <x:c r="B21" s="24" t="str">
        <x:v>Control</x:v>
      </x:c>
      <x:c r="C21" s="24" t="n">
        <x:v>17</x:v>
      </x:c>
      <x:c r="D21" s="26" t="n">
        <x:v>62</x:v>
      </x:c>
      <x:c r="E21" s="26" t="n">
        <x:v>59</x:v>
      </x:c>
      <x:c r="F21" s="26" t="n">
        <x:f>E21-D21</x:f>
        <x:v>-3</x:v>
      </x:c>
    </x:row>
    <x:row r="22">
      <x:c r="A22" s="24" t="str">
        <x:v>C18</x:v>
      </x:c>
      <x:c r="B22" s="24" t="str">
        <x:v>Control</x:v>
      </x:c>
      <x:c r="C22" s="24" t="n">
        <x:v>18</x:v>
      </x:c>
      <x:c r="D22" s="26" t="n">
        <x:v>78</x:v>
      </x:c>
      <x:c r="E22" s="26" t="n">
        <x:v>77</x:v>
      </x:c>
      <x:c r="F22" s="26" t="n">
        <x:f>E22-D22</x:f>
        <x:v>-1</x:v>
      </x:c>
    </x:row>
    <x:row r="23">
      <x:c r="A23" s="24" t="str">
        <x:v>C19</x:v>
      </x:c>
      <x:c r="B23" s="24" t="str">
        <x:v>Control</x:v>
      </x:c>
      <x:c r="C23" s="24" t="n">
        <x:v>19</x:v>
      </x:c>
      <x:c r="D23" s="26" t="n">
        <x:v>5</x:v>
      </x:c>
      <x:c r="E23" s="26" t="n">
        <x:v>6</x:v>
      </x:c>
      <x:c r="F23" s="26" t="n">
        <x:f>E23-D23</x:f>
        <x:v>1</x:v>
      </x:c>
    </x:row>
    <x:row r="24">
      <x:c r="A24" s="24" t="str">
        <x:v>C20</x:v>
      </x:c>
      <x:c r="B24" s="24" t="str">
        <x:v>Control</x:v>
      </x:c>
      <x:c r="C24" s="24" t="n">
        <x:v>20</x:v>
      </x:c>
      <x:c r="D24" s="26" t="n">
        <x:v>2</x:v>
      </x:c>
      <x:c r="E24" s="26" t="n">
        <x:v>4</x:v>
      </x:c>
      <x:c r="F24" s="26" t="n">
        <x:f>E24-D24</x:f>
        <x:v>2</x:v>
      </x:c>
    </x:row>
    <x:row r="25">
      <x:c r="A25" s="24" t="str">
        <x:v>C21</x:v>
      </x:c>
      <x:c r="B25" s="24" t="str">
        <x:v>Control</x:v>
      </x:c>
      <x:c r="C25" s="24" t="n">
        <x:v>21</x:v>
      </x:c>
      <x:c r="D25" s="26" t="n">
        <x:v>56</x:v>
      </x:c>
      <x:c r="E25" s="26" t="n">
        <x:v>62</x:v>
      </x:c>
      <x:c r="F25" s="26" t="n">
        <x:f>E25-D25</x:f>
        <x:v>6</x:v>
      </x:c>
    </x:row>
    <x:row r="26">
      <x:c r="A26" s="24" t="str">
        <x:v>C22</x:v>
      </x:c>
      <x:c r="B26" s="24" t="str">
        <x:v>Control</x:v>
      </x:c>
      <x:c r="C26" s="24" t="n">
        <x:v>22</x:v>
      </x:c>
      <x:c r="D26" s="26" t="n">
        <x:v>55</x:v>
      </x:c>
      <x:c r="E26" s="26" t="n">
        <x:v>51</x:v>
      </x:c>
      <x:c r="F26" s="26" t="n">
        <x:f>E26-D26</x:f>
        <x:v>-4</x:v>
      </x:c>
    </x:row>
    <x:row r="27">
      <x:c r="A27" s="24" t="str">
        <x:v>C23</x:v>
      </x:c>
      <x:c r="B27" s="24" t="str">
        <x:v>Control</x:v>
      </x:c>
      <x:c r="C27" s="24" t="n">
        <x:v>23</x:v>
      </x:c>
      <x:c r="D27" s="26" t="n">
        <x:v>59</x:v>
      </x:c>
      <x:c r="E27" s="26" t="n">
        <x:v>60</x:v>
      </x:c>
      <x:c r="F27" s="26" t="n">
        <x:f>E27-D27</x:f>
        <x:v>1</x:v>
      </x:c>
    </x:row>
    <x:row r="28">
      <x:c r="A28" s="24" t="str">
        <x:v>C24</x:v>
      </x:c>
      <x:c r="B28" s="24" t="str">
        <x:v>Control</x:v>
      </x:c>
      <x:c r="C28" s="24" t="n">
        <x:v>24</x:v>
      </x:c>
      <x:c r="D28" s="26" t="n">
        <x:v>53</x:v>
      </x:c>
      <x:c r="E28" s="26" t="n">
        <x:v>56</x:v>
      </x:c>
      <x:c r="F28" s="26" t="n">
        <x:f>E28-D28</x:f>
        <x:v>3</x:v>
      </x:c>
    </x:row>
    <x:row r="29">
      <x:c r="A29" s="24" t="str">
        <x:v>C25</x:v>
      </x:c>
      <x:c r="B29" s="24" t="str">
        <x:v>Control</x:v>
      </x:c>
      <x:c r="C29" s="24" t="n">
        <x:v>25</x:v>
      </x:c>
      <x:c r="D29" s="26" t="n">
        <x:v>52</x:v>
      </x:c>
      <x:c r="E29" s="26" t="n">
        <x:v>51</x:v>
      </x:c>
      <x:c r="F29" s="26" t="n">
        <x:f>E29-D29</x:f>
        <x:v>-1</x:v>
      </x:c>
    </x:row>
    <x:row r="30">
      <x:c r="A30" s="24" t="str">
        <x:v>C26</x:v>
      </x:c>
      <x:c r="B30" s="24" t="str">
        <x:v>Control</x:v>
      </x:c>
      <x:c r="C30" s="24" t="n">
        <x:v>26</x:v>
      </x:c>
      <x:c r="D30" s="26" t="n">
        <x:v>57</x:v>
      </x:c>
      <x:c r="E30" s="26" t="n">
        <x:v>55</x:v>
      </x:c>
      <x:c r="F30" s="26" t="n">
        <x:f>E30-D30</x:f>
        <x:v>-2</x:v>
      </x:c>
    </x:row>
    <x:row r="31">
      <x:c r="A31" s="24" t="str">
        <x:v>C27</x:v>
      </x:c>
      <x:c r="B31" s="24" t="str">
        <x:v>Control</x:v>
      </x:c>
      <x:c r="C31" s="24" t="n">
        <x:v>27</x:v>
      </x:c>
      <x:c r="D31" s="26" t="n">
        <x:v>48</x:v>
      </x:c>
      <x:c r="E31" s="26" t="n">
        <x:v>52</x:v>
      </x:c>
      <x:c r="F31" s="26" t="n">
        <x:f>E31-D31</x:f>
        <x:v>4</x:v>
      </x:c>
    </x:row>
    <x:row r="32">
      <x:c r="A32" s="24" t="str">
        <x:v>C28</x:v>
      </x:c>
      <x:c r="B32" s="24" t="str">
        <x:v>Control</x:v>
      </x:c>
      <x:c r="C32" s="24" t="n">
        <x:v>28</x:v>
      </x:c>
      <x:c r="D32" s="26" t="n">
        <x:v>8</x:v>
      </x:c>
      <x:c r="E32" s="26" t="n">
        <x:v>11</x:v>
      </x:c>
      <x:c r="F32" s="26" t="n">
        <x:f>E32-D32</x:f>
        <x:v>3</x:v>
      </x:c>
    </x:row>
    <x:row r="33">
      <x:c r="A33" s="24" t="str">
        <x:v>C29</x:v>
      </x:c>
      <x:c r="B33" s="24" t="str">
        <x:v>Control</x:v>
      </x:c>
      <x:c r="C33" s="24" t="n">
        <x:v>29</x:v>
      </x:c>
      <x:c r="D33" s="26" t="n">
        <x:v>50</x:v>
      </x:c>
      <x:c r="E33" s="26" t="n">
        <x:v>44</x:v>
      </x:c>
      <x:c r="F33" s="26" t="n">
        <x:f>E33-D33</x:f>
        <x:v>-6</x:v>
      </x:c>
    </x:row>
    <x:row r="34">
      <x:c r="A34" s="24" t="str">
        <x:v>C30</x:v>
      </x:c>
      <x:c r="B34" s="24" t="str">
        <x:v>Control</x:v>
      </x:c>
      <x:c r="C34" s="24" t="n">
        <x:v>30</x:v>
      </x:c>
      <x:c r="D34" s="26" t="n">
        <x:v>49</x:v>
      </x:c>
      <x:c r="E34" s="26" t="n">
        <x:v>50</x:v>
      </x:c>
      <x:c r="F34" s="26" t="n">
        <x:f>E34-D34</x:f>
        <x:v>1</x:v>
      </x:c>
    </x:row>
    <x:row r="35">
      <x:c r="A35" s="24" t="str">
        <x:v>C31</x:v>
      </x:c>
      <x:c r="B35" s="24" t="str">
        <x:v>Control</x:v>
      </x:c>
      <x:c r="C35" s="24" t="n">
        <x:v>31</x:v>
      </x:c>
      <x:c r="D35" s="26" t="n">
        <x:v>58</x:v>
      </x:c>
      <x:c r="E35" s="26" t="n">
        <x:v>62</x:v>
      </x:c>
      <x:c r="F35" s="26" t="n">
        <x:f>E35-D35</x:f>
        <x:v>4</x:v>
      </x:c>
    </x:row>
    <x:row r="36">
      <x:c r="A36" s="24" t="str">
        <x:v>C32</x:v>
      </x:c>
      <x:c r="B36" s="24" t="str">
        <x:v>Control</x:v>
      </x:c>
      <x:c r="C36" s="24" t="n">
        <x:v>32</x:v>
      </x:c>
      <x:c r="D36" s="26" t="n">
        <x:v>43</x:v>
      </x:c>
      <x:c r="E36" s="26" t="n">
        <x:v>49</x:v>
      </x:c>
      <x:c r="F36" s="26" t="n">
        <x:f>E36-D36</x:f>
        <x:v>6</x:v>
      </x:c>
    </x:row>
    <x:row r="37">
      <x:c r="A37" s="24" t="str">
        <x:v>C33</x:v>
      </x:c>
      <x:c r="B37" s="24" t="str">
        <x:v>Control</x:v>
      </x:c>
      <x:c r="C37" s="24" t="n">
        <x:v>33</x:v>
      </x:c>
      <x:c r="D37" s="26" t="n">
        <x:v>70</x:v>
      </x:c>
      <x:c r="E37" s="26" t="n">
        <x:v>74</x:v>
      </x:c>
      <x:c r="F37" s="26" t="n">
        <x:f>E37-D37</x:f>
        <x:v>4</x:v>
      </x:c>
    </x:row>
    <x:row r="38">
      <x:c r="A38" s="24" t="str">
        <x:v>C34</x:v>
      </x:c>
      <x:c r="B38" s="24" t="str">
        <x:v>Control</x:v>
      </x:c>
      <x:c r="C38" s="24" t="n">
        <x:v>34</x:v>
      </x:c>
      <x:c r="D38" s="26" t="n">
        <x:v>63</x:v>
      </x:c>
      <x:c r="E38" s="26" t="n">
        <x:v>68</x:v>
      </x:c>
      <x:c r="F38" s="26" t="n">
        <x:f>E38-D38</x:f>
        <x:v>5</x:v>
      </x:c>
    </x:row>
    <x:row r="39">
      <x:c r="A39" s="24" t="str">
        <x:v>C35</x:v>
      </x:c>
      <x:c r="B39" s="24" t="str">
        <x:v>Control</x:v>
      </x:c>
      <x:c r="C39" s="24" t="n">
        <x:v>35</x:v>
      </x:c>
      <x:c r="D39" s="26" t="n">
        <x:v>42</x:v>
      </x:c>
      <x:c r="E39" s="26" t="n">
        <x:v>39</x:v>
      </x:c>
      <x:c r="F39" s="26" t="n">
        <x:f>E39-D39</x:f>
        <x:v>-3</x:v>
      </x:c>
    </x:row>
    <x:row r="40">
      <x:c r="A40" s="24" t="str">
        <x:v>C36</x:v>
      </x:c>
      <x:c r="B40" s="24" t="str">
        <x:v>Control</x:v>
      </x:c>
      <x:c r="C40" s="24" t="n">
        <x:v>36</x:v>
      </x:c>
      <x:c r="D40" s="26" t="n">
        <x:v>61</x:v>
      </x:c>
      <x:c r="E40" s="26" t="n">
        <x:v>67</x:v>
      </x:c>
      <x:c r="F40" s="26" t="n">
        <x:f>E40-D40</x:f>
        <x:v>6</x:v>
      </x:c>
    </x:row>
    <x:row r="41">
      <x:c r="A41" s="24" t="str">
        <x:v>C37</x:v>
      </x:c>
      <x:c r="B41" s="24" t="str">
        <x:v>Control</x:v>
      </x:c>
      <x:c r="C41" s="24" t="n">
        <x:v>37</x:v>
      </x:c>
      <x:c r="D41" s="26" t="n">
        <x:v>66</x:v>
      </x:c>
      <x:c r="E41" s="26" t="n">
        <x:v>73</x:v>
      </x:c>
      <x:c r="F41" s="26" t="n">
        <x:f>E41-D41</x:f>
        <x:v>7</x:v>
      </x:c>
    </x:row>
    <x:row r="42">
      <x:c r="A42" s="24" t="str">
        <x:v>C38</x:v>
      </x:c>
      <x:c r="B42" s="24" t="str">
        <x:v>Control</x:v>
      </x:c>
      <x:c r="C42" s="24" t="n">
        <x:v>38</x:v>
      </x:c>
      <x:c r="D42" s="26" t="n">
        <x:v>14</x:v>
      </x:c>
      <x:c r="E42" s="26" t="n">
        <x:v>15</x:v>
      </x:c>
      <x:c r="F42" s="26" t="n">
        <x:f>E42-D42</x:f>
        <x:v>1</x:v>
      </x:c>
    </x:row>
    <x:row r="43">
      <x:c r="A43" s="24" t="str">
        <x:v>E01</x:v>
      </x:c>
      <x:c r="B43" s="24" t="str">
        <x:v>Experimental</x:v>
      </x:c>
      <x:c r="C43" s="24" t="n">
        <x:v>1</x:v>
      </x:c>
      <x:c r="D43" s="26" t="n">
        <x:v>50</x:v>
      </x:c>
      <x:c r="E43" s="26" t="n">
        <x:v>74</x:v>
      </x:c>
      <x:c r="F43" s="26" t="n">
        <x:f>E43-D43</x:f>
        <x:v>24</x:v>
      </x:c>
    </x:row>
    <x:row r="44">
      <x:c r="A44" s="24" t="str">
        <x:v>E02</x:v>
      </x:c>
      <x:c r="B44" s="24" t="str">
        <x:v>Experimental</x:v>
      </x:c>
      <x:c r="C44" s="24" t="n">
        <x:v>2</x:v>
      </x:c>
      <x:c r="D44" s="26" t="n">
        <x:v>53</x:v>
      </x:c>
      <x:c r="E44" s="26" t="n">
        <x:v>75</x:v>
      </x:c>
      <x:c r="F44" s="26" t="n">
        <x:f>E44-D44</x:f>
        <x:v>22</x:v>
      </x:c>
    </x:row>
    <x:row r="45">
      <x:c r="A45" s="24" t="str">
        <x:v>E03</x:v>
      </x:c>
      <x:c r="B45" s="24" t="str">
        <x:v>Experimental</x:v>
      </x:c>
      <x:c r="C45" s="24" t="n">
        <x:v>3</x:v>
      </x:c>
      <x:c r="D45" s="26" t="n">
        <x:v>52</x:v>
      </x:c>
      <x:c r="E45" s="26" t="n">
        <x:v>75</x:v>
      </x:c>
      <x:c r="F45" s="26" t="n">
        <x:f>E45-D45</x:f>
        <x:v>23</x:v>
      </x:c>
    </x:row>
    <x:row r="46">
      <x:c r="A46" s="24" t="str">
        <x:v>E04</x:v>
      </x:c>
      <x:c r="B46" s="24" t="str">
        <x:v>Experimental</x:v>
      </x:c>
      <x:c r="C46" s="24" t="n">
        <x:v>4</x:v>
      </x:c>
      <x:c r="D46" s="26" t="n">
        <x:v>70</x:v>
      </x:c>
      <x:c r="E46" s="26" t="n">
        <x:v>84</x:v>
      </x:c>
      <x:c r="F46" s="26" t="n">
        <x:f>E46-D46</x:f>
        <x:v>14</x:v>
      </x:c>
    </x:row>
    <x:row r="47">
      <x:c r="A47" s="24" t="str">
        <x:v>E05</x:v>
      </x:c>
      <x:c r="B47" s="24" t="str">
        <x:v>Experimental</x:v>
      </x:c>
      <x:c r="C47" s="24" t="n">
        <x:v>5</x:v>
      </x:c>
      <x:c r="D47" s="26" t="n">
        <x:v>49</x:v>
      </x:c>
      <x:c r="E47" s="26" t="n">
        <x:v>73</x:v>
      </x:c>
      <x:c r="F47" s="26" t="n">
        <x:f>E47-D47</x:f>
        <x:v>24</x:v>
      </x:c>
    </x:row>
    <x:row r="48">
      <x:c r="A48" s="24" t="str">
        <x:v>E06</x:v>
      </x:c>
      <x:c r="B48" s="24" t="str">
        <x:v>Experimental</x:v>
      </x:c>
      <x:c r="C48" s="24" t="n">
        <x:v>6</x:v>
      </x:c>
      <x:c r="D48" s="26" t="n">
        <x:v>10</x:v>
      </x:c>
      <x:c r="E48" s="26" t="n">
        <x:v>66</x:v>
      </x:c>
      <x:c r="F48" s="26" t="n">
        <x:f>E48-D48</x:f>
        <x:v>56</x:v>
      </x:c>
    </x:row>
    <x:row r="49">
      <x:c r="A49" s="24" t="str">
        <x:v>E07</x:v>
      </x:c>
      <x:c r="B49" s="24" t="str">
        <x:v>Experimental</x:v>
      </x:c>
      <x:c r="C49" s="24" t="n">
        <x:v>7</x:v>
      </x:c>
      <x:c r="D49" s="26" t="n">
        <x:v>56</x:v>
      </x:c>
      <x:c r="E49" s="26" t="n">
        <x:v>77</x:v>
      </x:c>
      <x:c r="F49" s="26" t="n">
        <x:f>E49-D49</x:f>
        <x:v>21</x:v>
      </x:c>
    </x:row>
    <x:row r="50">
      <x:c r="A50" s="24" t="str">
        <x:v>E08</x:v>
      </x:c>
      <x:c r="B50" s="24" t="str">
        <x:v>Experimental</x:v>
      </x:c>
      <x:c r="C50" s="24" t="n">
        <x:v>8</x:v>
      </x:c>
      <x:c r="D50" s="26" t="n">
        <x:v>51</x:v>
      </x:c>
      <x:c r="E50" s="26" t="n">
        <x:v>74</x:v>
      </x:c>
      <x:c r="F50" s="26" t="n">
        <x:f>E50-D50</x:f>
        <x:v>23</x:v>
      </x:c>
    </x:row>
    <x:row r="51">
      <x:c r="A51" s="24" t="str">
        <x:v>E09</x:v>
      </x:c>
      <x:c r="B51" s="24" t="str">
        <x:v>Experimental</x:v>
      </x:c>
      <x:c r="C51" s="24" t="n">
        <x:v>9</x:v>
      </x:c>
      <x:c r="D51" s="26" t="n">
        <x:v>55</x:v>
      </x:c>
      <x:c r="E51" s="26" t="n">
        <x:v>76</x:v>
      </x:c>
      <x:c r="F51" s="26" t="n">
        <x:f>E51-D51</x:f>
        <x:v>21</x:v>
      </x:c>
    </x:row>
    <x:row r="52">
      <x:c r="A52" s="24" t="str">
        <x:v>E10</x:v>
      </x:c>
      <x:c r="B52" s="24" t="str">
        <x:v>Experimental</x:v>
      </x:c>
      <x:c r="C52" s="24" t="n">
        <x:v>10</x:v>
      </x:c>
      <x:c r="D52" s="26" t="n">
        <x:v>59</x:v>
      </x:c>
      <x:c r="E52" s="26" t="n">
        <x:v>78</x:v>
      </x:c>
      <x:c r="F52" s="26" t="n">
        <x:f>E52-D52</x:f>
        <x:v>19</x:v>
      </x:c>
    </x:row>
    <x:row r="53">
      <x:c r="A53" s="24" t="str">
        <x:v>E11</x:v>
      </x:c>
      <x:c r="B53" s="24" t="str">
        <x:v>Experimental</x:v>
      </x:c>
      <x:c r="C53" s="24" t="n">
        <x:v>11</x:v>
      </x:c>
      <x:c r="D53" s="26" t="n">
        <x:v>43</x:v>
      </x:c>
      <x:c r="E53" s="26" t="n">
        <x:v>70</x:v>
      </x:c>
      <x:c r="F53" s="26" t="n">
        <x:f>E53-D53</x:f>
        <x:v>27</x:v>
      </x:c>
    </x:row>
    <x:row r="54">
      <x:c r="A54" s="24" t="str">
        <x:v>E12</x:v>
      </x:c>
      <x:c r="B54" s="24" t="str">
        <x:v>Experimental</x:v>
      </x:c>
      <x:c r="C54" s="24" t="n">
        <x:v>12</x:v>
      </x:c>
      <x:c r="D54" s="26" t="n">
        <x:v>66</x:v>
      </x:c>
      <x:c r="E54" s="26" t="n">
        <x:v>81</x:v>
      </x:c>
      <x:c r="F54" s="26" t="n">
        <x:f>E54-D54</x:f>
        <x:v>15</x:v>
      </x:c>
    </x:row>
    <x:row r="55">
      <x:c r="A55" s="24" t="str">
        <x:v>E13</x:v>
      </x:c>
      <x:c r="B55" s="24" t="str">
        <x:v>Experimental</x:v>
      </x:c>
      <x:c r="C55" s="24" t="n">
        <x:v>13</x:v>
      </x:c>
      <x:c r="D55" s="26" t="n">
        <x:v>7</x:v>
      </x:c>
      <x:c r="E55" s="26" t="n">
        <x:v>65</x:v>
      </x:c>
      <x:c r="F55" s="26" t="n">
        <x:f>E55-D55</x:f>
        <x:v>58</x:v>
      </x:c>
    </x:row>
    <x:row r="56">
      <x:c r="A56" s="24" t="str">
        <x:v>E14</x:v>
      </x:c>
      <x:c r="B56" s="24" t="str">
        <x:v>Experimental</x:v>
      </x:c>
      <x:c r="C56" s="24" t="n">
        <x:v>14</x:v>
      </x:c>
      <x:c r="D56" s="26" t="n">
        <x:v>50</x:v>
      </x:c>
      <x:c r="E56" s="26" t="n">
        <x:v>73</x:v>
      </x:c>
      <x:c r="F56" s="26" t="n">
        <x:f>E56-D56</x:f>
        <x:v>23</x:v>
      </x:c>
    </x:row>
    <x:row r="57">
      <x:c r="A57" s="24" t="str">
        <x:v>E15</x:v>
      </x:c>
      <x:c r="B57" s="24" t="str">
        <x:v>Experimental</x:v>
      </x:c>
      <x:c r="C57" s="24" t="n">
        <x:v>15</x:v>
      </x:c>
      <x:c r="D57" s="26" t="n">
        <x:v>45</x:v>
      </x:c>
      <x:c r="E57" s="26" t="n">
        <x:v>71</x:v>
      </x:c>
      <x:c r="F57" s="26" t="n">
        <x:f>E57-D57</x:f>
        <x:v>26</x:v>
      </x:c>
    </x:row>
    <x:row r="58">
      <x:c r="A58" s="24" t="str">
        <x:v>E16</x:v>
      </x:c>
      <x:c r="B58" s="24" t="str">
        <x:v>Experimental</x:v>
      </x:c>
      <x:c r="C58" s="24" t="n">
        <x:v>16</x:v>
      </x:c>
      <x:c r="D58" s="26" t="n">
        <x:v>57</x:v>
      </x:c>
      <x:c r="E58" s="26" t="n">
        <x:v>77</x:v>
      </x:c>
      <x:c r="F58" s="26" t="n">
        <x:f>E58-D58</x:f>
        <x:v>20</x:v>
      </x:c>
    </x:row>
    <x:row r="59">
      <x:c r="A59" s="24" t="str">
        <x:v>E17</x:v>
      </x:c>
      <x:c r="B59" s="24" t="str">
        <x:v>Experimental</x:v>
      </x:c>
      <x:c r="C59" s="24" t="n">
        <x:v>17</x:v>
      </x:c>
      <x:c r="D59" s="26" t="n">
        <x:v>61</x:v>
      </x:c>
      <x:c r="E59" s="26" t="n">
        <x:v>79</x:v>
      </x:c>
      <x:c r="F59" s="26" t="n">
        <x:f>E59-D59</x:f>
        <x:v>18</x:v>
      </x:c>
    </x:row>
    <x:row r="60">
      <x:c r="A60" s="24" t="str">
        <x:v>E18</x:v>
      </x:c>
      <x:c r="B60" s="24" t="str">
        <x:v>Experimental</x:v>
      </x:c>
      <x:c r="C60" s="24" t="n">
        <x:v>18</x:v>
      </x:c>
      <x:c r="D60" s="26" t="n">
        <x:v>47</x:v>
      </x:c>
      <x:c r="E60" s="26" t="n">
        <x:v>72</x:v>
      </x:c>
      <x:c r="F60" s="26" t="n">
        <x:f>E60-D60</x:f>
        <x:v>25</x:v>
      </x:c>
    </x:row>
    <x:row r="61">
      <x:c r="A61" s="24" t="str">
        <x:v>E19</x:v>
      </x:c>
      <x:c r="B61" s="24" t="str">
        <x:v>Experimental</x:v>
      </x:c>
      <x:c r="C61" s="24" t="n">
        <x:v>19</x:v>
      </x:c>
      <x:c r="D61" s="26" t="n">
        <x:v>74</x:v>
      </x:c>
      <x:c r="E61" s="26" t="n">
        <x:v>86</x:v>
      </x:c>
      <x:c r="F61" s="26" t="n">
        <x:f>E61-D61</x:f>
        <x:v>12</x:v>
      </x:c>
    </x:row>
    <x:row r="62">
      <x:c r="A62" s="24" t="str">
        <x:v>E20</x:v>
      </x:c>
      <x:c r="B62" s="24" t="str">
        <x:v>Experimental</x:v>
      </x:c>
      <x:c r="C62" s="24" t="n">
        <x:v>20</x:v>
      </x:c>
      <x:c r="D62" s="26" t="n">
        <x:v>65</x:v>
      </x:c>
      <x:c r="E62" s="26" t="n">
        <x:v>81</x:v>
      </x:c>
      <x:c r="F62" s="26" t="n">
        <x:f>E62-D62</x:f>
        <x:v>16</x:v>
      </x:c>
    </x:row>
    <x:row r="63">
      <x:c r="A63" s="24" t="str">
        <x:v>E21</x:v>
      </x:c>
      <x:c r="B63" s="24" t="str">
        <x:v>Experimental</x:v>
      </x:c>
      <x:c r="C63" s="24" t="n">
        <x:v>21</x:v>
      </x:c>
      <x:c r="D63" s="26" t="n">
        <x:v>44</x:v>
      </x:c>
      <x:c r="E63" s="26" t="n">
        <x:v>71</x:v>
      </x:c>
      <x:c r="F63" s="26" t="n">
        <x:f>E63-D63</x:f>
        <x:v>27</x:v>
      </x:c>
    </x:row>
    <x:row r="64">
      <x:c r="A64" s="24" t="str">
        <x:v>E22</x:v>
      </x:c>
      <x:c r="B64" s="24" t="str">
        <x:v>Experimental</x:v>
      </x:c>
      <x:c r="C64" s="24" t="n">
        <x:v>22</x:v>
      </x:c>
      <x:c r="D64" s="26" t="n">
        <x:v>75</x:v>
      </x:c>
      <x:c r="E64" s="26" t="n">
        <x:v>87</x:v>
      </x:c>
      <x:c r="F64" s="26" t="n">
        <x:f>E64-D64</x:f>
        <x:v>12</x:v>
      </x:c>
    </x:row>
    <x:row r="65">
      <x:c r="A65" s="24" t="str">
        <x:v>E23</x:v>
      </x:c>
      <x:c r="B65" s="24" t="str">
        <x:v>Experimental</x:v>
      </x:c>
      <x:c r="C65" s="24" t="n">
        <x:v>23</x:v>
      </x:c>
      <x:c r="D65" s="26" t="n">
        <x:v>37</x:v>
      </x:c>
      <x:c r="E65" s="26" t="n">
        <x:v>68</x:v>
      </x:c>
      <x:c r="F65" s="26" t="n">
        <x:f>E65-D65</x:f>
        <x:v>31</x:v>
      </x:c>
    </x:row>
    <x:row r="66">
      <x:c r="A66" s="24" t="str">
        <x:v>E24</x:v>
      </x:c>
      <x:c r="B66" s="24" t="str">
        <x:v>Experimental</x:v>
      </x:c>
      <x:c r="C66" s="24" t="n">
        <x:v>24</x:v>
      </x:c>
      <x:c r="D66" s="26" t="n">
        <x:v>54</x:v>
      </x:c>
      <x:c r="E66" s="26" t="n">
        <x:v>76</x:v>
      </x:c>
      <x:c r="F66" s="26" t="n">
        <x:f>E66-D66</x:f>
        <x:v>22</x:v>
      </x:c>
    </x:row>
    <x:row r="67">
      <x:c r="A67" s="24" t="str">
        <x:v>E25</x:v>
      </x:c>
      <x:c r="B67" s="24" t="str">
        <x:v>Experimental</x:v>
      </x:c>
      <x:c r="C67" s="24" t="n">
        <x:v>25</x:v>
      </x:c>
      <x:c r="D67" s="26" t="n">
        <x:v>1</x:v>
      </x:c>
      <x:c r="E67" s="26" t="n">
        <x:v>62</x:v>
      </x:c>
      <x:c r="F67" s="26" t="n">
        <x:f>E67-D67</x:f>
        <x:v>61</x:v>
      </x:c>
    </x:row>
    <x:row r="68">
      <x:c r="A68" s="24" t="str">
        <x:v>E26</x:v>
      </x:c>
      <x:c r="B68" s="24" t="str">
        <x:v>Experimental</x:v>
      </x:c>
      <x:c r="C68" s="24" t="n">
        <x:v>26</x:v>
      </x:c>
      <x:c r="D68" s="26" t="n">
        <x:v>46</x:v>
      </x:c>
      <x:c r="E68" s="26" t="n">
        <x:v>72</x:v>
      </x:c>
      <x:c r="F68" s="26" t="n">
        <x:f>E68-D68</x:f>
        <x:v>26</x:v>
      </x:c>
    </x:row>
    <x:row r="69">
      <x:c r="A69" s="24" t="str">
        <x:v>E27</x:v>
      </x:c>
      <x:c r="B69" s="24" t="str">
        <x:v>Experimental</x:v>
      </x:c>
      <x:c r="C69" s="24" t="n">
        <x:v>27</x:v>
      </x:c>
      <x:c r="D69" s="26" t="n">
        <x:v>41</x:v>
      </x:c>
      <x:c r="E69" s="26" t="n">
        <x:v>69</x:v>
      </x:c>
      <x:c r="F69" s="26" t="n">
        <x:f>E69-D69</x:f>
        <x:v>28</x:v>
      </x:c>
    </x:row>
    <x:row r="70">
      <x:c r="A70" s="24" t="str">
        <x:v>E28</x:v>
      </x:c>
      <x:c r="B70" s="24" t="str">
        <x:v>Experimental</x:v>
      </x:c>
      <x:c r="C70" s="24" t="n">
        <x:v>28</x:v>
      </x:c>
      <x:c r="D70" s="26" t="n">
        <x:v>68</x:v>
      </x:c>
      <x:c r="E70" s="26" t="n">
        <x:v>83</x:v>
      </x:c>
      <x:c r="F70" s="26" t="n">
        <x:f>E70-D70</x:f>
        <x:v>15</x:v>
      </x:c>
    </x:row>
    <x:row r="71">
      <x:c r="A71" s="24" t="str">
        <x:v>E29</x:v>
      </x:c>
      <x:c r="B71" s="24" t="str">
        <x:v>Experimental</x:v>
      </x:c>
      <x:c r="C71" s="24" t="n">
        <x:v>29</x:v>
      </x:c>
      <x:c r="D71" s="26" t="n">
        <x:v>13</x:v>
      </x:c>
      <x:c r="E71" s="26" t="n">
        <x:v>67</x:v>
      </x:c>
      <x:c r="F71" s="26" t="n">
        <x:f>E71-D71</x:f>
        <x:v>54</x:v>
      </x:c>
    </x:row>
    <x:row r="72">
      <x:c r="A72" s="24" t="str">
        <x:v>E30</x:v>
      </x:c>
      <x:c r="B72" s="24" t="str">
        <x:v>Experimental</x:v>
      </x:c>
      <x:c r="C72" s="24" t="n">
        <x:v>30</x:v>
      </x:c>
      <x:c r="D72" s="26" t="n">
        <x:v>60</x:v>
      </x:c>
      <x:c r="E72" s="26" t="n">
        <x:v>79</x:v>
      </x:c>
      <x:c r="F72" s="26" t="n">
        <x:f>E72-D72</x:f>
        <x:v>19</x:v>
      </x:c>
    </x:row>
    <x:row r="73">
      <x:c r="A73" s="24" t="str">
        <x:v>E31</x:v>
      </x:c>
      <x:c r="B73" s="24" t="str">
        <x:v>Experimental</x:v>
      </x:c>
      <x:c r="C73" s="24" t="n">
        <x:v>31</x:v>
      </x:c>
      <x:c r="D73" s="26" t="n">
        <x:v>62</x:v>
      </x:c>
      <x:c r="E73" s="26" t="n">
        <x:v>80</x:v>
      </x:c>
      <x:c r="F73" s="26" t="n">
        <x:f>E73-D73</x:f>
        <x:v>18</x:v>
      </x:c>
    </x:row>
    <x:row r="74">
      <x:c r="A74" s="24" t="str">
        <x:v>E32</x:v>
      </x:c>
      <x:c r="B74" s="24" t="str">
        <x:v>Experimental</x:v>
      </x:c>
      <x:c r="C74" s="24" t="n">
        <x:v>32</x:v>
      </x:c>
      <x:c r="D74" s="26" t="n">
        <x:v>67</x:v>
      </x:c>
      <x:c r="E74" s="26" t="n">
        <x:v>82</x:v>
      </x:c>
      <x:c r="F74" s="26" t="n">
        <x:f>E74-D74</x:f>
        <x:v>15</x:v>
      </x:c>
    </x:row>
    <x:row r="75">
      <x:c r="A75" s="24" t="str">
        <x:v>E33</x:v>
      </x:c>
      <x:c r="B75" s="24" t="str">
        <x:v>Experimental</x:v>
      </x:c>
      <x:c r="C75" s="24" t="n">
        <x:v>33</x:v>
      </x:c>
      <x:c r="D75" s="26" t="n">
        <x:v>63</x:v>
      </x:c>
      <x:c r="E75" s="26" t="n">
        <x:v>80</x:v>
      </x:c>
      <x:c r="F75" s="26" t="n">
        <x:f>E75-D75</x:f>
        <x:v>17</x:v>
      </x:c>
    </x:row>
    <x:row r="76">
      <x:c r="A76" s="24" t="str">
        <x:v>E34</x:v>
      </x:c>
      <x:c r="B76" s="24" t="str">
        <x:v>Experimental</x:v>
      </x:c>
      <x:c r="C76" s="24" t="n">
        <x:v>34</x:v>
      </x:c>
      <x:c r="D76" s="26" t="n">
        <x:v>4</x:v>
      </x:c>
      <x:c r="E76" s="26" t="n">
        <x:v>64</x:v>
      </x:c>
      <x:c r="F76" s="26" t="n">
        <x:f>E76-D76</x:f>
        <x:v>60</x:v>
      </x:c>
    </x:row>
    <x:row r="77">
      <x:c r="A77" s="24" t="str">
        <x:v>E35</x:v>
      </x:c>
      <x:c r="B77" s="24" t="str">
        <x:v>Experimental</x:v>
      </x:c>
      <x:c r="C77" s="24" t="n">
        <x:v>35</x:v>
      </x:c>
      <x:c r="D77" s="26" t="n">
        <x:v>39</x:v>
      </x:c>
      <x:c r="E77" s="26" t="n">
        <x:v>69</x:v>
      </x:c>
      <x:c r="F77" s="26" t="n">
        <x:f>E77-D77</x:f>
        <x:v>30</x:v>
      </x:c>
    </x:row>
    <x:row r="78">
      <x:c r="A78" s="24" t="str">
        <x:v>E36</x:v>
      </x:c>
      <x:c r="B78" s="24" t="str">
        <x:v>Experimental</x:v>
      </x:c>
      <x:c r="C78" s="24" t="n">
        <x:v>36</x:v>
      </x:c>
      <x:c r="D78" s="26" t="n">
        <x:v>79</x:v>
      </x:c>
      <x:c r="E78" s="26" t="n">
        <x:v>88</x:v>
      </x:c>
      <x:c r="F78" s="26" t="n">
        <x:f>E78-D78</x:f>
        <x:v>9</x:v>
      </x:c>
    </x:row>
    <x:row r="79">
      <x:c r="A79" s="24" t="str">
        <x:v>E37</x:v>
      </x:c>
      <x:c r="B79" s="24" t="str">
        <x:v>Experimental</x:v>
      </x:c>
      <x:c r="C79" s="24" t="n">
        <x:v>37</x:v>
      </x:c>
      <x:c r="D79" s="26" t="n">
        <x:v>71</x:v>
      </x:c>
      <x:c r="E79" s="26" t="n">
        <x:v>85</x:v>
      </x:c>
      <x:c r="F79" s="26" t="n">
        <x:f>E79-D79</x:f>
        <x:v>14</x:v>
      </x:c>
    </x:row>
    <x:row r="80">
      <x:c r="A80" s="24" t="str">
        <x:v>E38</x:v>
      </x:c>
      <x:c r="B80" s="24" t="str">
        <x:v>Experimental</x:v>
      </x:c>
      <x:c r="C80" s="24" t="n">
        <x:v>38</x:v>
      </x:c>
      <x:c r="D80" s="26" t="n">
        <x:v>60</x:v>
      </x:c>
      <x:c r="E80" s="26" t="n">
        <x:v>78</x:v>
      </x:c>
      <x:c r="F80" s="26" t="n">
        <x:f>E80-D80</x:f>
        <x:v>18</x:v>
      </x:c>
    </x:row>
  </x:sheetData>
  <x:mergeCells>
    <x:mergeCell ref="A1:F1"/>
    <x:mergeCell ref="A2:F2"/>
  </x:mergeCells>
  <x:conditionalFormatting sqref="D5:E80">
    <x:cfRule type="dataBar" priority="1">
      <x:dataBar>
        <x:cfvo type="min"/>
        <x:cfvo type="max"/>
        <x:color rgb="6D28D9"/>
      </x:dataBar>
      <x:extLst>
        <x:ext xmlns:x14="http://schemas.microsoft.com/office/spreadsheetml/2009/9/main" uri="{B025F937-C7B1-47D3-B67F-A62EFF666E3E}">
          <x14:id>{8BF3F6B7-7F64-6D58-A2A4-83C0360E86A8}</x14:id>
        </x:ext>
      </x:extLst>
    </x:cfRule>
  </x:conditionalFormatting>
  <x:conditionalFormatting sqref="F5:F80">
    <x:cfRule type="colorScale" priority="2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dataValidations count="1">
    <x:dataValidation type="list" sqref="B5:B80">
      <x:formula1>"Control,Experimental"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db2b8ba50a4cd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BF3F6B7-7F64-6D58-A2A4-83C0360E86A8}">
            <x14:dataBar gradient="1">
              <x14:cfvo type="min"/>
              <x14:cfvo type="max"/>
              <x14:fillColor rgb="6D28D9"/>
            </x14:dataBar>
          </x14:cfRule>
          <xm:sqref>D5:E80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2" hidden="0" customWidth="1"/>
    <x:col min="4" max="4" width="12" hidden="0" customWidth="1"/>
  </x:cols>
  <x:sheetData>
    <x:row r="1">
      <x:c r="A1" s="4" t="str">
        <x:v>Base de datos en formato largo</x:v>
      </x:c>
      <x:c r="B1" s="4"/>
      <x:c r="C1" s="4"/>
      <x:c r="D1" s="4"/>
    </x:row>
    <x:row r="2" ht="36" customHeight="1">
      <x:c r="A2" s="9" t="str">
        <x:v>Útil para análisis por momento y grupo en software estadístico. Cada estudiante aparece en dos filas: pre y pos.</x:v>
      </x:c>
      <x:c r="B2" s="9"/>
      <x:c r="C2" s="9"/>
      <x:c r="D2" s="9"/>
    </x:row>
    <x:row r="4">
      <x:c r="A4" s="16" t="str">
        <x:v>ID</x:v>
      </x:c>
      <x:c r="B4" s="16" t="str">
        <x:v>Grupo</x:v>
      </x:c>
      <x:c r="C4" s="16" t="str">
        <x:v>Momento</x:v>
      </x:c>
      <x:c r="D4" s="16" t="str">
        <x:v>Puntaje</x:v>
      </x:c>
    </x:row>
    <x:row r="5">
      <x:c r="A5" s="24" t="str">
        <x:v>C01</x:v>
      </x:c>
      <x:c r="B5" s="24" t="str">
        <x:v>Control</x:v>
      </x:c>
      <x:c r="C5" s="24" t="str">
        <x:v>Pre</x:v>
      </x:c>
      <x:c r="D5" s="26" t="n">
        <x:v>68</x:v>
      </x:c>
    </x:row>
    <x:row r="6">
      <x:c r="A6" s="24" t="str">
        <x:v>C01</x:v>
      </x:c>
      <x:c r="B6" s="24" t="str">
        <x:v>Control</x:v>
      </x:c>
      <x:c r="C6" s="24" t="str">
        <x:v>Pos</x:v>
      </x:c>
      <x:c r="D6" s="26" t="n">
        <x:v>66</x:v>
      </x:c>
    </x:row>
    <x:row r="7">
      <x:c r="A7" s="24" t="str">
        <x:v>C02</x:v>
      </x:c>
      <x:c r="B7" s="24" t="str">
        <x:v>Control</x:v>
      </x:c>
      <x:c r="C7" s="24" t="str">
        <x:v>Pre</x:v>
      </x:c>
      <x:c r="D7" s="26" t="n">
        <x:v>76</x:v>
      </x:c>
    </x:row>
    <x:row r="8">
      <x:c r="A8" s="24" t="str">
        <x:v>C02</x:v>
      </x:c>
      <x:c r="B8" s="24" t="str">
        <x:v>Control</x:v>
      </x:c>
      <x:c r="C8" s="24" t="str">
        <x:v>Pos</x:v>
      </x:c>
      <x:c r="D8" s="26" t="n">
        <x:v>81</x:v>
      </x:c>
    </x:row>
    <x:row r="9">
      <x:c r="A9" s="24" t="str">
        <x:v>C03</x:v>
      </x:c>
      <x:c r="B9" s="24" t="str">
        <x:v>Control</x:v>
      </x:c>
      <x:c r="C9" s="24" t="str">
        <x:v>Pre</x:v>
      </x:c>
      <x:c r="D9" s="26" t="n">
        <x:v>44</x:v>
      </x:c>
    </x:row>
    <x:row r="10">
      <x:c r="A10" s="24" t="str">
        <x:v>C03</x:v>
      </x:c>
      <x:c r="B10" s="24" t="str">
        <x:v>Control</x:v>
      </x:c>
      <x:c r="C10" s="24" t="str">
        <x:v>Pos</x:v>
      </x:c>
      <x:c r="D10" s="26" t="n">
        <x:v>44</x:v>
      </x:c>
    </x:row>
    <x:row r="11">
      <x:c r="A11" s="24" t="str">
        <x:v>C04</x:v>
      </x:c>
      <x:c r="B11" s="24" t="str">
        <x:v>Control</x:v>
      </x:c>
      <x:c r="C11" s="24" t="str">
        <x:v>Pre</x:v>
      </x:c>
      <x:c r="D11" s="26" t="n">
        <x:v>47</x:v>
      </x:c>
    </x:row>
    <x:row r="12">
      <x:c r="A12" s="24" t="str">
        <x:v>C04</x:v>
      </x:c>
      <x:c r="B12" s="24" t="str">
        <x:v>Control</x:v>
      </x:c>
      <x:c r="C12" s="24" t="str">
        <x:v>Pos</x:v>
      </x:c>
      <x:c r="D12" s="26" t="n">
        <x:v>45</x:v>
      </x:c>
    </x:row>
    <x:row r="13">
      <x:c r="A13" s="24" t="str">
        <x:v>C05</x:v>
      </x:c>
      <x:c r="B13" s="24" t="str">
        <x:v>Control</x:v>
      </x:c>
      <x:c r="C13" s="24" t="str">
        <x:v>Pre</x:v>
      </x:c>
      <x:c r="D13" s="26" t="n">
        <x:v>11</x:v>
      </x:c>
    </x:row>
    <x:row r="14">
      <x:c r="A14" s="24" t="str">
        <x:v>C05</x:v>
      </x:c>
      <x:c r="B14" s="24" t="str">
        <x:v>Control</x:v>
      </x:c>
      <x:c r="C14" s="24" t="str">
        <x:v>Pos</x:v>
      </x:c>
      <x:c r="D14" s="26" t="n">
        <x:v>13</x:v>
      </x:c>
    </x:row>
    <x:row r="15">
      <x:c r="A15" s="24" t="str">
        <x:v>C06</x:v>
      </x:c>
      <x:c r="B15" s="24" t="str">
        <x:v>Control</x:v>
      </x:c>
      <x:c r="C15" s="24" t="str">
        <x:v>Pre</x:v>
      </x:c>
      <x:c r="D15" s="26" t="n">
        <x:v>60</x:v>
      </x:c>
    </x:row>
    <x:row r="16">
      <x:c r="A16" s="24" t="str">
        <x:v>C06</x:v>
      </x:c>
      <x:c r="B16" s="24" t="str">
        <x:v>Control</x:v>
      </x:c>
      <x:c r="C16" s="24" t="str">
        <x:v>Pos</x:v>
      </x:c>
      <x:c r="D16" s="26" t="n">
        <x:v>55</x:v>
      </x:c>
    </x:row>
    <x:row r="17">
      <x:c r="A17" s="24" t="str">
        <x:v>C07</x:v>
      </x:c>
      <x:c r="B17" s="24" t="str">
        <x:v>Control</x:v>
      </x:c>
      <x:c r="C17" s="24" t="str">
        <x:v>Pre</x:v>
      </x:c>
      <x:c r="D17" s="26" t="n">
        <x:v>51</x:v>
      </x:c>
    </x:row>
    <x:row r="18">
      <x:c r="A18" s="24" t="str">
        <x:v>C07</x:v>
      </x:c>
      <x:c r="B18" s="24" t="str">
        <x:v>Control</x:v>
      </x:c>
      <x:c r="C18" s="24" t="str">
        <x:v>Pos</x:v>
      </x:c>
      <x:c r="D18" s="26" t="n">
        <x:v>56</x:v>
      </x:c>
    </x:row>
    <x:row r="19">
      <x:c r="A19" s="24" t="str">
        <x:v>C08</x:v>
      </x:c>
      <x:c r="B19" s="24" t="str">
        <x:v>Control</x:v>
      </x:c>
      <x:c r="C19" s="24" t="str">
        <x:v>Pre</x:v>
      </x:c>
      <x:c r="D19" s="26" t="n">
        <x:v>54</x:v>
      </x:c>
    </x:row>
    <x:row r="20">
      <x:c r="A20" s="24" t="str">
        <x:v>C08</x:v>
      </x:c>
      <x:c r="B20" s="24" t="str">
        <x:v>Control</x:v>
      </x:c>
      <x:c r="C20" s="24" t="str">
        <x:v>Pos</x:v>
      </x:c>
      <x:c r="D20" s="26" t="n">
        <x:v>54</x:v>
      </x:c>
    </x:row>
    <x:row r="21">
      <x:c r="A21" s="24" t="str">
        <x:v>C09</x:v>
      </x:c>
      <x:c r="B21" s="24" t="str">
        <x:v>Control</x:v>
      </x:c>
      <x:c r="C21" s="24" t="str">
        <x:v>Pre</x:v>
      </x:c>
      <x:c r="D21" s="26" t="n">
        <x:v>64</x:v>
      </x:c>
    </x:row>
    <x:row r="22">
      <x:c r="A22" s="24" t="str">
        <x:v>C09</x:v>
      </x:c>
      <x:c r="B22" s="24" t="str">
        <x:v>Control</x:v>
      </x:c>
      <x:c r="C22" s="24" t="str">
        <x:v>Pos</x:v>
      </x:c>
      <x:c r="D22" s="26" t="n">
        <x:v>64</x:v>
      </x:c>
    </x:row>
    <x:row r="23">
      <x:c r="A23" s="24" t="str">
        <x:v>C10</x:v>
      </x:c>
      <x:c r="B23" s="24" t="str">
        <x:v>Control</x:v>
      </x:c>
      <x:c r="C23" s="24" t="str">
        <x:v>Pre</x:v>
      </x:c>
      <x:c r="D23" s="26" t="n">
        <x:v>65</x:v>
      </x:c>
    </x:row>
    <x:row r="24">
      <x:c r="A24" s="24" t="str">
        <x:v>C10</x:v>
      </x:c>
      <x:c r="B24" s="24" t="str">
        <x:v>Control</x:v>
      </x:c>
      <x:c r="C24" s="24" t="str">
        <x:v>Pos</x:v>
      </x:c>
      <x:c r="D24" s="26" t="n">
        <x:v>61</x:v>
      </x:c>
    </x:row>
    <x:row r="25">
      <x:c r="A25" s="24" t="str">
        <x:v>C11</x:v>
      </x:c>
      <x:c r="B25" s="24" t="str">
        <x:v>Control</x:v>
      </x:c>
      <x:c r="C25" s="24" t="str">
        <x:v>Pre</x:v>
      </x:c>
      <x:c r="D25" s="26" t="n">
        <x:v>38</x:v>
      </x:c>
    </x:row>
    <x:row r="26">
      <x:c r="A26" s="24" t="str">
        <x:v>C11</x:v>
      </x:c>
      <x:c r="B26" s="24" t="str">
        <x:v>Control</x:v>
      </x:c>
      <x:c r="C26" s="24" t="str">
        <x:v>Pos</x:v>
      </x:c>
      <x:c r="D26" s="26" t="n">
        <x:v>34</x:v>
      </x:c>
    </x:row>
    <x:row r="27">
      <x:c r="A27" s="24" t="str">
        <x:v>C12</x:v>
      </x:c>
      <x:c r="B27" s="24" t="str">
        <x:v>Control</x:v>
      </x:c>
      <x:c r="C27" s="24" t="str">
        <x:v>Pre</x:v>
      </x:c>
      <x:c r="D27" s="26" t="n">
        <x:v>72</x:v>
      </x:c>
    </x:row>
    <x:row r="28">
      <x:c r="A28" s="24" t="str">
        <x:v>C12</x:v>
      </x:c>
      <x:c r="B28" s="24" t="str">
        <x:v>Control</x:v>
      </x:c>
      <x:c r="C28" s="24" t="str">
        <x:v>Pos</x:v>
      </x:c>
      <x:c r="D28" s="26" t="n">
        <x:v>72</x:v>
      </x:c>
    </x:row>
    <x:row r="29">
      <x:c r="A29" s="24" t="str">
        <x:v>C13</x:v>
      </x:c>
      <x:c r="B29" s="24" t="str">
        <x:v>Control</x:v>
      </x:c>
      <x:c r="C29" s="24" t="str">
        <x:v>Pre</x:v>
      </x:c>
      <x:c r="D29" s="26" t="n">
        <x:v>45</x:v>
      </x:c>
    </x:row>
    <x:row r="30">
      <x:c r="A30" s="24" t="str">
        <x:v>C13</x:v>
      </x:c>
      <x:c r="B30" s="24" t="str">
        <x:v>Control</x:v>
      </x:c>
      <x:c r="C30" s="24" t="str">
        <x:v>Pos</x:v>
      </x:c>
      <x:c r="D30" s="26" t="n">
        <x:v>40</x:v>
      </x:c>
    </x:row>
    <x:row r="31">
      <x:c r="A31" s="24" t="str">
        <x:v>C14</x:v>
      </x:c>
      <x:c r="B31" s="24" t="str">
        <x:v>Control</x:v>
      </x:c>
      <x:c r="C31" s="24" t="str">
        <x:v>Pre</x:v>
      </x:c>
      <x:c r="D31" s="26" t="n">
        <x:v>74</x:v>
      </x:c>
    </x:row>
    <x:row r="32">
      <x:c r="A32" s="24" t="str">
        <x:v>C14</x:v>
      </x:c>
      <x:c r="B32" s="24" t="str">
        <x:v>Control</x:v>
      </x:c>
      <x:c r="C32" s="24" t="str">
        <x:v>Pos</x:v>
      </x:c>
      <x:c r="D32" s="26" t="n">
        <x:v>69</x:v>
      </x:c>
    </x:row>
    <x:row r="33">
      <x:c r="A33" s="24" t="str">
        <x:v>C15</x:v>
      </x:c>
      <x:c r="B33" s="24" t="str">
        <x:v>Control</x:v>
      </x:c>
      <x:c r="C33" s="24" t="str">
        <x:v>Pre</x:v>
      </x:c>
      <x:c r="D33" s="26" t="n">
        <x:v>40</x:v>
      </x:c>
    </x:row>
    <x:row r="34">
      <x:c r="A34" s="24" t="str">
        <x:v>C15</x:v>
      </x:c>
      <x:c r="B34" s="24" t="str">
        <x:v>Control</x:v>
      </x:c>
      <x:c r="C34" s="24" t="str">
        <x:v>Pos</x:v>
      </x:c>
      <x:c r="D34" s="26" t="n">
        <x:v>45</x:v>
      </x:c>
    </x:row>
    <x:row r="35">
      <x:c r="A35" s="24" t="str">
        <x:v>C16</x:v>
      </x:c>
      <x:c r="B35" s="24" t="str">
        <x:v>Control</x:v>
      </x:c>
      <x:c r="C35" s="24" t="str">
        <x:v>Pre</x:v>
      </x:c>
      <x:c r="D35" s="26" t="n">
        <x:v>46</x:v>
      </x:c>
    </x:row>
    <x:row r="36">
      <x:c r="A36" s="24" t="str">
        <x:v>C16</x:v>
      </x:c>
      <x:c r="B36" s="24" t="str">
        <x:v>Control</x:v>
      </x:c>
      <x:c r="C36" s="24" t="str">
        <x:v>Pos</x:v>
      </x:c>
      <x:c r="D36" s="26" t="n">
        <x:v>53</x:v>
      </x:c>
    </x:row>
    <x:row r="37">
      <x:c r="A37" s="24" t="str">
        <x:v>C17</x:v>
      </x:c>
      <x:c r="B37" s="24" t="str">
        <x:v>Control</x:v>
      </x:c>
      <x:c r="C37" s="24" t="str">
        <x:v>Pre</x:v>
      </x:c>
      <x:c r="D37" s="26" t="n">
        <x:v>62</x:v>
      </x:c>
    </x:row>
    <x:row r="38">
      <x:c r="A38" s="24" t="str">
        <x:v>C17</x:v>
      </x:c>
      <x:c r="B38" s="24" t="str">
        <x:v>Control</x:v>
      </x:c>
      <x:c r="C38" s="24" t="str">
        <x:v>Pos</x:v>
      </x:c>
      <x:c r="D38" s="26" t="n">
        <x:v>59</x:v>
      </x:c>
    </x:row>
    <x:row r="39">
      <x:c r="A39" s="24" t="str">
        <x:v>C18</x:v>
      </x:c>
      <x:c r="B39" s="24" t="str">
        <x:v>Control</x:v>
      </x:c>
      <x:c r="C39" s="24" t="str">
        <x:v>Pre</x:v>
      </x:c>
      <x:c r="D39" s="26" t="n">
        <x:v>78</x:v>
      </x:c>
    </x:row>
    <x:row r="40">
      <x:c r="A40" s="24" t="str">
        <x:v>C18</x:v>
      </x:c>
      <x:c r="B40" s="24" t="str">
        <x:v>Control</x:v>
      </x:c>
      <x:c r="C40" s="24" t="str">
        <x:v>Pos</x:v>
      </x:c>
      <x:c r="D40" s="26" t="n">
        <x:v>77</x:v>
      </x:c>
    </x:row>
    <x:row r="41">
      <x:c r="A41" s="24" t="str">
        <x:v>C19</x:v>
      </x:c>
      <x:c r="B41" s="24" t="str">
        <x:v>Control</x:v>
      </x:c>
      <x:c r="C41" s="24" t="str">
        <x:v>Pre</x:v>
      </x:c>
      <x:c r="D41" s="26" t="n">
        <x:v>5</x:v>
      </x:c>
    </x:row>
    <x:row r="42">
      <x:c r="A42" s="24" t="str">
        <x:v>C19</x:v>
      </x:c>
      <x:c r="B42" s="24" t="str">
        <x:v>Control</x:v>
      </x:c>
      <x:c r="C42" s="24" t="str">
        <x:v>Pos</x:v>
      </x:c>
      <x:c r="D42" s="26" t="n">
        <x:v>6</x:v>
      </x:c>
    </x:row>
    <x:row r="43">
      <x:c r="A43" s="24" t="str">
        <x:v>C20</x:v>
      </x:c>
      <x:c r="B43" s="24" t="str">
        <x:v>Control</x:v>
      </x:c>
      <x:c r="C43" s="24" t="str">
        <x:v>Pre</x:v>
      </x:c>
      <x:c r="D43" s="26" t="n">
        <x:v>2</x:v>
      </x:c>
    </x:row>
    <x:row r="44">
      <x:c r="A44" s="24" t="str">
        <x:v>C20</x:v>
      </x:c>
      <x:c r="B44" s="24" t="str">
        <x:v>Control</x:v>
      </x:c>
      <x:c r="C44" s="24" t="str">
        <x:v>Pos</x:v>
      </x:c>
      <x:c r="D44" s="26" t="n">
        <x:v>4</x:v>
      </x:c>
    </x:row>
    <x:row r="45">
      <x:c r="A45" s="24" t="str">
        <x:v>C21</x:v>
      </x:c>
      <x:c r="B45" s="24" t="str">
        <x:v>Control</x:v>
      </x:c>
      <x:c r="C45" s="24" t="str">
        <x:v>Pre</x:v>
      </x:c>
      <x:c r="D45" s="26" t="n">
        <x:v>56</x:v>
      </x:c>
    </x:row>
    <x:row r="46">
      <x:c r="A46" s="24" t="str">
        <x:v>C21</x:v>
      </x:c>
      <x:c r="B46" s="24" t="str">
        <x:v>Control</x:v>
      </x:c>
      <x:c r="C46" s="24" t="str">
        <x:v>Pos</x:v>
      </x:c>
      <x:c r="D46" s="26" t="n">
        <x:v>62</x:v>
      </x:c>
    </x:row>
    <x:row r="47">
      <x:c r="A47" s="24" t="str">
        <x:v>C22</x:v>
      </x:c>
      <x:c r="B47" s="24" t="str">
        <x:v>Control</x:v>
      </x:c>
      <x:c r="C47" s="24" t="str">
        <x:v>Pre</x:v>
      </x:c>
      <x:c r="D47" s="26" t="n">
        <x:v>55</x:v>
      </x:c>
    </x:row>
    <x:row r="48">
      <x:c r="A48" s="24" t="str">
        <x:v>C22</x:v>
      </x:c>
      <x:c r="B48" s="24" t="str">
        <x:v>Control</x:v>
      </x:c>
      <x:c r="C48" s="24" t="str">
        <x:v>Pos</x:v>
      </x:c>
      <x:c r="D48" s="26" t="n">
        <x:v>51</x:v>
      </x:c>
    </x:row>
    <x:row r="49">
      <x:c r="A49" s="24" t="str">
        <x:v>C23</x:v>
      </x:c>
      <x:c r="B49" s="24" t="str">
        <x:v>Control</x:v>
      </x:c>
      <x:c r="C49" s="24" t="str">
        <x:v>Pre</x:v>
      </x:c>
      <x:c r="D49" s="26" t="n">
        <x:v>59</x:v>
      </x:c>
    </x:row>
    <x:row r="50">
      <x:c r="A50" s="24" t="str">
        <x:v>C23</x:v>
      </x:c>
      <x:c r="B50" s="24" t="str">
        <x:v>Control</x:v>
      </x:c>
      <x:c r="C50" s="24" t="str">
        <x:v>Pos</x:v>
      </x:c>
      <x:c r="D50" s="26" t="n">
        <x:v>60</x:v>
      </x:c>
    </x:row>
    <x:row r="51">
      <x:c r="A51" s="24" t="str">
        <x:v>C24</x:v>
      </x:c>
      <x:c r="B51" s="24" t="str">
        <x:v>Control</x:v>
      </x:c>
      <x:c r="C51" s="24" t="str">
        <x:v>Pre</x:v>
      </x:c>
      <x:c r="D51" s="26" t="n">
        <x:v>53</x:v>
      </x:c>
    </x:row>
    <x:row r="52">
      <x:c r="A52" s="24" t="str">
        <x:v>C24</x:v>
      </x:c>
      <x:c r="B52" s="24" t="str">
        <x:v>Control</x:v>
      </x:c>
      <x:c r="C52" s="24" t="str">
        <x:v>Pos</x:v>
      </x:c>
      <x:c r="D52" s="26" t="n">
        <x:v>56</x:v>
      </x:c>
    </x:row>
    <x:row r="53">
      <x:c r="A53" s="24" t="str">
        <x:v>C25</x:v>
      </x:c>
      <x:c r="B53" s="24" t="str">
        <x:v>Control</x:v>
      </x:c>
      <x:c r="C53" s="24" t="str">
        <x:v>Pre</x:v>
      </x:c>
      <x:c r="D53" s="26" t="n">
        <x:v>52</x:v>
      </x:c>
    </x:row>
    <x:row r="54">
      <x:c r="A54" s="24" t="str">
        <x:v>C25</x:v>
      </x:c>
      <x:c r="B54" s="24" t="str">
        <x:v>Control</x:v>
      </x:c>
      <x:c r="C54" s="24" t="str">
        <x:v>Pos</x:v>
      </x:c>
      <x:c r="D54" s="26" t="n">
        <x:v>51</x:v>
      </x:c>
    </x:row>
    <x:row r="55">
      <x:c r="A55" s="24" t="str">
        <x:v>C26</x:v>
      </x:c>
      <x:c r="B55" s="24" t="str">
        <x:v>Control</x:v>
      </x:c>
      <x:c r="C55" s="24" t="str">
        <x:v>Pre</x:v>
      </x:c>
      <x:c r="D55" s="26" t="n">
        <x:v>57</x:v>
      </x:c>
    </x:row>
    <x:row r="56">
      <x:c r="A56" s="24" t="str">
        <x:v>C26</x:v>
      </x:c>
      <x:c r="B56" s="24" t="str">
        <x:v>Control</x:v>
      </x:c>
      <x:c r="C56" s="24" t="str">
        <x:v>Pos</x:v>
      </x:c>
      <x:c r="D56" s="26" t="n">
        <x:v>55</x:v>
      </x:c>
    </x:row>
    <x:row r="57">
      <x:c r="A57" s="24" t="str">
        <x:v>C27</x:v>
      </x:c>
      <x:c r="B57" s="24" t="str">
        <x:v>Control</x:v>
      </x:c>
      <x:c r="C57" s="24" t="str">
        <x:v>Pre</x:v>
      </x:c>
      <x:c r="D57" s="26" t="n">
        <x:v>48</x:v>
      </x:c>
    </x:row>
    <x:row r="58">
      <x:c r="A58" s="24" t="str">
        <x:v>C27</x:v>
      </x:c>
      <x:c r="B58" s="24" t="str">
        <x:v>Control</x:v>
      </x:c>
      <x:c r="C58" s="24" t="str">
        <x:v>Pos</x:v>
      </x:c>
      <x:c r="D58" s="26" t="n">
        <x:v>52</x:v>
      </x:c>
    </x:row>
    <x:row r="59">
      <x:c r="A59" s="24" t="str">
        <x:v>C28</x:v>
      </x:c>
      <x:c r="B59" s="24" t="str">
        <x:v>Control</x:v>
      </x:c>
      <x:c r="C59" s="24" t="str">
        <x:v>Pre</x:v>
      </x:c>
      <x:c r="D59" s="26" t="n">
        <x:v>8</x:v>
      </x:c>
    </x:row>
    <x:row r="60">
      <x:c r="A60" s="24" t="str">
        <x:v>C28</x:v>
      </x:c>
      <x:c r="B60" s="24" t="str">
        <x:v>Control</x:v>
      </x:c>
      <x:c r="C60" s="24" t="str">
        <x:v>Pos</x:v>
      </x:c>
      <x:c r="D60" s="26" t="n">
        <x:v>11</x:v>
      </x:c>
    </x:row>
    <x:row r="61">
      <x:c r="A61" s="24" t="str">
        <x:v>C29</x:v>
      </x:c>
      <x:c r="B61" s="24" t="str">
        <x:v>Control</x:v>
      </x:c>
      <x:c r="C61" s="24" t="str">
        <x:v>Pre</x:v>
      </x:c>
      <x:c r="D61" s="26" t="n">
        <x:v>50</x:v>
      </x:c>
    </x:row>
    <x:row r="62">
      <x:c r="A62" s="24" t="str">
        <x:v>C29</x:v>
      </x:c>
      <x:c r="B62" s="24" t="str">
        <x:v>Control</x:v>
      </x:c>
      <x:c r="C62" s="24" t="str">
        <x:v>Pos</x:v>
      </x:c>
      <x:c r="D62" s="26" t="n">
        <x:v>44</x:v>
      </x:c>
    </x:row>
    <x:row r="63">
      <x:c r="A63" s="24" t="str">
        <x:v>C30</x:v>
      </x:c>
      <x:c r="B63" s="24" t="str">
        <x:v>Control</x:v>
      </x:c>
      <x:c r="C63" s="24" t="str">
        <x:v>Pre</x:v>
      </x:c>
      <x:c r="D63" s="26" t="n">
        <x:v>49</x:v>
      </x:c>
    </x:row>
    <x:row r="64">
      <x:c r="A64" s="24" t="str">
        <x:v>C30</x:v>
      </x:c>
      <x:c r="B64" s="24" t="str">
        <x:v>Control</x:v>
      </x:c>
      <x:c r="C64" s="24" t="str">
        <x:v>Pos</x:v>
      </x:c>
      <x:c r="D64" s="26" t="n">
        <x:v>50</x:v>
      </x:c>
    </x:row>
    <x:row r="65">
      <x:c r="A65" s="24" t="str">
        <x:v>C31</x:v>
      </x:c>
      <x:c r="B65" s="24" t="str">
        <x:v>Control</x:v>
      </x:c>
      <x:c r="C65" s="24" t="str">
        <x:v>Pre</x:v>
      </x:c>
      <x:c r="D65" s="26" t="n">
        <x:v>58</x:v>
      </x:c>
    </x:row>
    <x:row r="66">
      <x:c r="A66" s="24" t="str">
        <x:v>C31</x:v>
      </x:c>
      <x:c r="B66" s="24" t="str">
        <x:v>Control</x:v>
      </x:c>
      <x:c r="C66" s="24" t="str">
        <x:v>Pos</x:v>
      </x:c>
      <x:c r="D66" s="26" t="n">
        <x:v>62</x:v>
      </x:c>
    </x:row>
    <x:row r="67">
      <x:c r="A67" s="24" t="str">
        <x:v>C32</x:v>
      </x:c>
      <x:c r="B67" s="24" t="str">
        <x:v>Control</x:v>
      </x:c>
      <x:c r="C67" s="24" t="str">
        <x:v>Pre</x:v>
      </x:c>
      <x:c r="D67" s="26" t="n">
        <x:v>43</x:v>
      </x:c>
    </x:row>
    <x:row r="68">
      <x:c r="A68" s="24" t="str">
        <x:v>C32</x:v>
      </x:c>
      <x:c r="B68" s="24" t="str">
        <x:v>Control</x:v>
      </x:c>
      <x:c r="C68" s="24" t="str">
        <x:v>Pos</x:v>
      </x:c>
      <x:c r="D68" s="26" t="n">
        <x:v>49</x:v>
      </x:c>
    </x:row>
    <x:row r="69">
      <x:c r="A69" s="24" t="str">
        <x:v>C33</x:v>
      </x:c>
      <x:c r="B69" s="24" t="str">
        <x:v>Control</x:v>
      </x:c>
      <x:c r="C69" s="24" t="str">
        <x:v>Pre</x:v>
      </x:c>
      <x:c r="D69" s="26" t="n">
        <x:v>70</x:v>
      </x:c>
    </x:row>
    <x:row r="70">
      <x:c r="A70" s="24" t="str">
        <x:v>C33</x:v>
      </x:c>
      <x:c r="B70" s="24" t="str">
        <x:v>Control</x:v>
      </x:c>
      <x:c r="C70" s="24" t="str">
        <x:v>Pos</x:v>
      </x:c>
      <x:c r="D70" s="26" t="n">
        <x:v>74</x:v>
      </x:c>
    </x:row>
    <x:row r="71">
      <x:c r="A71" s="24" t="str">
        <x:v>C34</x:v>
      </x:c>
      <x:c r="B71" s="24" t="str">
        <x:v>Control</x:v>
      </x:c>
      <x:c r="C71" s="24" t="str">
        <x:v>Pre</x:v>
      </x:c>
      <x:c r="D71" s="26" t="n">
        <x:v>63</x:v>
      </x:c>
    </x:row>
    <x:row r="72">
      <x:c r="A72" s="24" t="str">
        <x:v>C34</x:v>
      </x:c>
      <x:c r="B72" s="24" t="str">
        <x:v>Control</x:v>
      </x:c>
      <x:c r="C72" s="24" t="str">
        <x:v>Pos</x:v>
      </x:c>
      <x:c r="D72" s="26" t="n">
        <x:v>68</x:v>
      </x:c>
    </x:row>
    <x:row r="73">
      <x:c r="A73" s="24" t="str">
        <x:v>C35</x:v>
      </x:c>
      <x:c r="B73" s="24" t="str">
        <x:v>Control</x:v>
      </x:c>
      <x:c r="C73" s="24" t="str">
        <x:v>Pre</x:v>
      </x:c>
      <x:c r="D73" s="26" t="n">
        <x:v>42</x:v>
      </x:c>
    </x:row>
    <x:row r="74">
      <x:c r="A74" s="24" t="str">
        <x:v>C35</x:v>
      </x:c>
      <x:c r="B74" s="24" t="str">
        <x:v>Control</x:v>
      </x:c>
      <x:c r="C74" s="24" t="str">
        <x:v>Pos</x:v>
      </x:c>
      <x:c r="D74" s="26" t="n">
        <x:v>39</x:v>
      </x:c>
    </x:row>
    <x:row r="75">
      <x:c r="A75" s="24" t="str">
        <x:v>C36</x:v>
      </x:c>
      <x:c r="B75" s="24" t="str">
        <x:v>Control</x:v>
      </x:c>
      <x:c r="C75" s="24" t="str">
        <x:v>Pre</x:v>
      </x:c>
      <x:c r="D75" s="26" t="n">
        <x:v>61</x:v>
      </x:c>
    </x:row>
    <x:row r="76">
      <x:c r="A76" s="24" t="str">
        <x:v>C36</x:v>
      </x:c>
      <x:c r="B76" s="24" t="str">
        <x:v>Control</x:v>
      </x:c>
      <x:c r="C76" s="24" t="str">
        <x:v>Pos</x:v>
      </x:c>
      <x:c r="D76" s="26" t="n">
        <x:v>67</x:v>
      </x:c>
    </x:row>
    <x:row r="77">
      <x:c r="A77" s="24" t="str">
        <x:v>C37</x:v>
      </x:c>
      <x:c r="B77" s="24" t="str">
        <x:v>Control</x:v>
      </x:c>
      <x:c r="C77" s="24" t="str">
        <x:v>Pre</x:v>
      </x:c>
      <x:c r="D77" s="26" t="n">
        <x:v>66</x:v>
      </x:c>
    </x:row>
    <x:row r="78">
      <x:c r="A78" s="24" t="str">
        <x:v>C37</x:v>
      </x:c>
      <x:c r="B78" s="24" t="str">
        <x:v>Control</x:v>
      </x:c>
      <x:c r="C78" s="24" t="str">
        <x:v>Pos</x:v>
      </x:c>
      <x:c r="D78" s="26" t="n">
        <x:v>73</x:v>
      </x:c>
    </x:row>
    <x:row r="79">
      <x:c r="A79" s="24" t="str">
        <x:v>C38</x:v>
      </x:c>
      <x:c r="B79" s="24" t="str">
        <x:v>Control</x:v>
      </x:c>
      <x:c r="C79" s="24" t="str">
        <x:v>Pre</x:v>
      </x:c>
      <x:c r="D79" s="26" t="n">
        <x:v>14</x:v>
      </x:c>
    </x:row>
    <x:row r="80">
      <x:c r="A80" s="24" t="str">
        <x:v>C38</x:v>
      </x:c>
      <x:c r="B80" s="24" t="str">
        <x:v>Control</x:v>
      </x:c>
      <x:c r="C80" s="24" t="str">
        <x:v>Pos</x:v>
      </x:c>
      <x:c r="D80" s="26" t="n">
        <x:v>15</x:v>
      </x:c>
    </x:row>
    <x:row r="81">
      <x:c r="A81" s="24" t="str">
        <x:v>E01</x:v>
      </x:c>
      <x:c r="B81" s="24" t="str">
        <x:v>Experimental</x:v>
      </x:c>
      <x:c r="C81" s="24" t="str">
        <x:v>Pre</x:v>
      </x:c>
      <x:c r="D81" s="26" t="n">
        <x:v>50</x:v>
      </x:c>
    </x:row>
    <x:row r="82">
      <x:c r="A82" s="24" t="str">
        <x:v>E01</x:v>
      </x:c>
      <x:c r="B82" s="24" t="str">
        <x:v>Experimental</x:v>
      </x:c>
      <x:c r="C82" s="24" t="str">
        <x:v>Pos</x:v>
      </x:c>
      <x:c r="D82" s="26" t="n">
        <x:v>74</x:v>
      </x:c>
    </x:row>
    <x:row r="83">
      <x:c r="A83" s="24" t="str">
        <x:v>E02</x:v>
      </x:c>
      <x:c r="B83" s="24" t="str">
        <x:v>Experimental</x:v>
      </x:c>
      <x:c r="C83" s="24" t="str">
        <x:v>Pre</x:v>
      </x:c>
      <x:c r="D83" s="26" t="n">
        <x:v>53</x:v>
      </x:c>
    </x:row>
    <x:row r="84">
      <x:c r="A84" s="24" t="str">
        <x:v>E02</x:v>
      </x:c>
      <x:c r="B84" s="24" t="str">
        <x:v>Experimental</x:v>
      </x:c>
      <x:c r="C84" s="24" t="str">
        <x:v>Pos</x:v>
      </x:c>
      <x:c r="D84" s="26" t="n">
        <x:v>75</x:v>
      </x:c>
    </x:row>
    <x:row r="85">
      <x:c r="A85" s="24" t="str">
        <x:v>E03</x:v>
      </x:c>
      <x:c r="B85" s="24" t="str">
        <x:v>Experimental</x:v>
      </x:c>
      <x:c r="C85" s="24" t="str">
        <x:v>Pre</x:v>
      </x:c>
      <x:c r="D85" s="26" t="n">
        <x:v>52</x:v>
      </x:c>
    </x:row>
    <x:row r="86">
      <x:c r="A86" s="24" t="str">
        <x:v>E03</x:v>
      </x:c>
      <x:c r="B86" s="24" t="str">
        <x:v>Experimental</x:v>
      </x:c>
      <x:c r="C86" s="24" t="str">
        <x:v>Pos</x:v>
      </x:c>
      <x:c r="D86" s="26" t="n">
        <x:v>75</x:v>
      </x:c>
    </x:row>
    <x:row r="87">
      <x:c r="A87" s="24" t="str">
        <x:v>E04</x:v>
      </x:c>
      <x:c r="B87" s="24" t="str">
        <x:v>Experimental</x:v>
      </x:c>
      <x:c r="C87" s="24" t="str">
        <x:v>Pre</x:v>
      </x:c>
      <x:c r="D87" s="26" t="n">
        <x:v>70</x:v>
      </x:c>
    </x:row>
    <x:row r="88">
      <x:c r="A88" s="24" t="str">
        <x:v>E04</x:v>
      </x:c>
      <x:c r="B88" s="24" t="str">
        <x:v>Experimental</x:v>
      </x:c>
      <x:c r="C88" s="24" t="str">
        <x:v>Pos</x:v>
      </x:c>
      <x:c r="D88" s="26" t="n">
        <x:v>84</x:v>
      </x:c>
    </x:row>
    <x:row r="89">
      <x:c r="A89" s="24" t="str">
        <x:v>E05</x:v>
      </x:c>
      <x:c r="B89" s="24" t="str">
        <x:v>Experimental</x:v>
      </x:c>
      <x:c r="C89" s="24" t="str">
        <x:v>Pre</x:v>
      </x:c>
      <x:c r="D89" s="26" t="n">
        <x:v>49</x:v>
      </x:c>
    </x:row>
    <x:row r="90">
      <x:c r="A90" s="24" t="str">
        <x:v>E05</x:v>
      </x:c>
      <x:c r="B90" s="24" t="str">
        <x:v>Experimental</x:v>
      </x:c>
      <x:c r="C90" s="24" t="str">
        <x:v>Pos</x:v>
      </x:c>
      <x:c r="D90" s="26" t="n">
        <x:v>73</x:v>
      </x:c>
    </x:row>
    <x:row r="91">
      <x:c r="A91" s="24" t="str">
        <x:v>E06</x:v>
      </x:c>
      <x:c r="B91" s="24" t="str">
        <x:v>Experimental</x:v>
      </x:c>
      <x:c r="C91" s="24" t="str">
        <x:v>Pre</x:v>
      </x:c>
      <x:c r="D91" s="26" t="n">
        <x:v>10</x:v>
      </x:c>
    </x:row>
    <x:row r="92">
      <x:c r="A92" s="24" t="str">
        <x:v>E06</x:v>
      </x:c>
      <x:c r="B92" s="24" t="str">
        <x:v>Experimental</x:v>
      </x:c>
      <x:c r="C92" s="24" t="str">
        <x:v>Pos</x:v>
      </x:c>
      <x:c r="D92" s="26" t="n">
        <x:v>66</x:v>
      </x:c>
    </x:row>
    <x:row r="93">
      <x:c r="A93" s="24" t="str">
        <x:v>E07</x:v>
      </x:c>
      <x:c r="B93" s="24" t="str">
        <x:v>Experimental</x:v>
      </x:c>
      <x:c r="C93" s="24" t="str">
        <x:v>Pre</x:v>
      </x:c>
      <x:c r="D93" s="26" t="n">
        <x:v>56</x:v>
      </x:c>
    </x:row>
    <x:row r="94">
      <x:c r="A94" s="24" t="str">
        <x:v>E07</x:v>
      </x:c>
      <x:c r="B94" s="24" t="str">
        <x:v>Experimental</x:v>
      </x:c>
      <x:c r="C94" s="24" t="str">
        <x:v>Pos</x:v>
      </x:c>
      <x:c r="D94" s="26" t="n">
        <x:v>77</x:v>
      </x:c>
    </x:row>
    <x:row r="95">
      <x:c r="A95" s="24" t="str">
        <x:v>E08</x:v>
      </x:c>
      <x:c r="B95" s="24" t="str">
        <x:v>Experimental</x:v>
      </x:c>
      <x:c r="C95" s="24" t="str">
        <x:v>Pre</x:v>
      </x:c>
      <x:c r="D95" s="26" t="n">
        <x:v>51</x:v>
      </x:c>
    </x:row>
    <x:row r="96">
      <x:c r="A96" s="24" t="str">
        <x:v>E08</x:v>
      </x:c>
      <x:c r="B96" s="24" t="str">
        <x:v>Experimental</x:v>
      </x:c>
      <x:c r="C96" s="24" t="str">
        <x:v>Pos</x:v>
      </x:c>
      <x:c r="D96" s="26" t="n">
        <x:v>74</x:v>
      </x:c>
    </x:row>
    <x:row r="97">
      <x:c r="A97" s="24" t="str">
        <x:v>E09</x:v>
      </x:c>
      <x:c r="B97" s="24" t="str">
        <x:v>Experimental</x:v>
      </x:c>
      <x:c r="C97" s="24" t="str">
        <x:v>Pre</x:v>
      </x:c>
      <x:c r="D97" s="26" t="n">
        <x:v>55</x:v>
      </x:c>
    </x:row>
    <x:row r="98">
      <x:c r="A98" s="24" t="str">
        <x:v>E09</x:v>
      </x:c>
      <x:c r="B98" s="24" t="str">
        <x:v>Experimental</x:v>
      </x:c>
      <x:c r="C98" s="24" t="str">
        <x:v>Pos</x:v>
      </x:c>
      <x:c r="D98" s="26" t="n">
        <x:v>76</x:v>
      </x:c>
    </x:row>
    <x:row r="99">
      <x:c r="A99" s="24" t="str">
        <x:v>E10</x:v>
      </x:c>
      <x:c r="B99" s="24" t="str">
        <x:v>Experimental</x:v>
      </x:c>
      <x:c r="C99" s="24" t="str">
        <x:v>Pre</x:v>
      </x:c>
      <x:c r="D99" s="26" t="n">
        <x:v>59</x:v>
      </x:c>
    </x:row>
    <x:row r="100">
      <x:c r="A100" s="24" t="str">
        <x:v>E10</x:v>
      </x:c>
      <x:c r="B100" s="24" t="str">
        <x:v>Experimental</x:v>
      </x:c>
      <x:c r="C100" s="24" t="str">
        <x:v>Pos</x:v>
      </x:c>
      <x:c r="D100" s="26" t="n">
        <x:v>78</x:v>
      </x:c>
    </x:row>
    <x:row r="101">
      <x:c r="A101" s="24" t="str">
        <x:v>E11</x:v>
      </x:c>
      <x:c r="B101" s="24" t="str">
        <x:v>Experimental</x:v>
      </x:c>
      <x:c r="C101" s="24" t="str">
        <x:v>Pre</x:v>
      </x:c>
      <x:c r="D101" s="26" t="n">
        <x:v>43</x:v>
      </x:c>
    </x:row>
    <x:row r="102">
      <x:c r="A102" s="24" t="str">
        <x:v>E11</x:v>
      </x:c>
      <x:c r="B102" s="24" t="str">
        <x:v>Experimental</x:v>
      </x:c>
      <x:c r="C102" s="24" t="str">
        <x:v>Pos</x:v>
      </x:c>
      <x:c r="D102" s="26" t="n">
        <x:v>70</x:v>
      </x:c>
    </x:row>
    <x:row r="103">
      <x:c r="A103" s="24" t="str">
        <x:v>E12</x:v>
      </x:c>
      <x:c r="B103" s="24" t="str">
        <x:v>Experimental</x:v>
      </x:c>
      <x:c r="C103" s="24" t="str">
        <x:v>Pre</x:v>
      </x:c>
      <x:c r="D103" s="26" t="n">
        <x:v>66</x:v>
      </x:c>
    </x:row>
    <x:row r="104">
      <x:c r="A104" s="24" t="str">
        <x:v>E12</x:v>
      </x:c>
      <x:c r="B104" s="24" t="str">
        <x:v>Experimental</x:v>
      </x:c>
      <x:c r="C104" s="24" t="str">
        <x:v>Pos</x:v>
      </x:c>
      <x:c r="D104" s="26" t="n">
        <x:v>81</x:v>
      </x:c>
    </x:row>
    <x:row r="105">
      <x:c r="A105" s="24" t="str">
        <x:v>E13</x:v>
      </x:c>
      <x:c r="B105" s="24" t="str">
        <x:v>Experimental</x:v>
      </x:c>
      <x:c r="C105" s="24" t="str">
        <x:v>Pre</x:v>
      </x:c>
      <x:c r="D105" s="26" t="n">
        <x:v>7</x:v>
      </x:c>
    </x:row>
    <x:row r="106">
      <x:c r="A106" s="24" t="str">
        <x:v>E13</x:v>
      </x:c>
      <x:c r="B106" s="24" t="str">
        <x:v>Experimental</x:v>
      </x:c>
      <x:c r="C106" s="24" t="str">
        <x:v>Pos</x:v>
      </x:c>
      <x:c r="D106" s="26" t="n">
        <x:v>65</x:v>
      </x:c>
    </x:row>
    <x:row r="107">
      <x:c r="A107" s="24" t="str">
        <x:v>E14</x:v>
      </x:c>
      <x:c r="B107" s="24" t="str">
        <x:v>Experimental</x:v>
      </x:c>
      <x:c r="C107" s="24" t="str">
        <x:v>Pre</x:v>
      </x:c>
      <x:c r="D107" s="26" t="n">
        <x:v>50</x:v>
      </x:c>
    </x:row>
    <x:row r="108">
      <x:c r="A108" s="24" t="str">
        <x:v>E14</x:v>
      </x:c>
      <x:c r="B108" s="24" t="str">
        <x:v>Experimental</x:v>
      </x:c>
      <x:c r="C108" s="24" t="str">
        <x:v>Pos</x:v>
      </x:c>
      <x:c r="D108" s="26" t="n">
        <x:v>73</x:v>
      </x:c>
    </x:row>
    <x:row r="109">
      <x:c r="A109" s="24" t="str">
        <x:v>E15</x:v>
      </x:c>
      <x:c r="B109" s="24" t="str">
        <x:v>Experimental</x:v>
      </x:c>
      <x:c r="C109" s="24" t="str">
        <x:v>Pre</x:v>
      </x:c>
      <x:c r="D109" s="26" t="n">
        <x:v>45</x:v>
      </x:c>
    </x:row>
    <x:row r="110">
      <x:c r="A110" s="24" t="str">
        <x:v>E15</x:v>
      </x:c>
      <x:c r="B110" s="24" t="str">
        <x:v>Experimental</x:v>
      </x:c>
      <x:c r="C110" s="24" t="str">
        <x:v>Pos</x:v>
      </x:c>
      <x:c r="D110" s="26" t="n">
        <x:v>71</x:v>
      </x:c>
    </x:row>
    <x:row r="111">
      <x:c r="A111" s="24" t="str">
        <x:v>E16</x:v>
      </x:c>
      <x:c r="B111" s="24" t="str">
        <x:v>Experimental</x:v>
      </x:c>
      <x:c r="C111" s="24" t="str">
        <x:v>Pre</x:v>
      </x:c>
      <x:c r="D111" s="26" t="n">
        <x:v>57</x:v>
      </x:c>
    </x:row>
    <x:row r="112">
      <x:c r="A112" s="24" t="str">
        <x:v>E16</x:v>
      </x:c>
      <x:c r="B112" s="24" t="str">
        <x:v>Experimental</x:v>
      </x:c>
      <x:c r="C112" s="24" t="str">
        <x:v>Pos</x:v>
      </x:c>
      <x:c r="D112" s="26" t="n">
        <x:v>77</x:v>
      </x:c>
    </x:row>
    <x:row r="113">
      <x:c r="A113" s="24" t="str">
        <x:v>E17</x:v>
      </x:c>
      <x:c r="B113" s="24" t="str">
        <x:v>Experimental</x:v>
      </x:c>
      <x:c r="C113" s="24" t="str">
        <x:v>Pre</x:v>
      </x:c>
      <x:c r="D113" s="26" t="n">
        <x:v>61</x:v>
      </x:c>
    </x:row>
    <x:row r="114">
      <x:c r="A114" s="24" t="str">
        <x:v>E17</x:v>
      </x:c>
      <x:c r="B114" s="24" t="str">
        <x:v>Experimental</x:v>
      </x:c>
      <x:c r="C114" s="24" t="str">
        <x:v>Pos</x:v>
      </x:c>
      <x:c r="D114" s="26" t="n">
        <x:v>79</x:v>
      </x:c>
    </x:row>
    <x:row r="115">
      <x:c r="A115" s="24" t="str">
        <x:v>E18</x:v>
      </x:c>
      <x:c r="B115" s="24" t="str">
        <x:v>Experimental</x:v>
      </x:c>
      <x:c r="C115" s="24" t="str">
        <x:v>Pre</x:v>
      </x:c>
      <x:c r="D115" s="26" t="n">
        <x:v>47</x:v>
      </x:c>
    </x:row>
    <x:row r="116">
      <x:c r="A116" s="24" t="str">
        <x:v>E18</x:v>
      </x:c>
      <x:c r="B116" s="24" t="str">
        <x:v>Experimental</x:v>
      </x:c>
      <x:c r="C116" s="24" t="str">
        <x:v>Pos</x:v>
      </x:c>
      <x:c r="D116" s="26" t="n">
        <x:v>72</x:v>
      </x:c>
    </x:row>
    <x:row r="117">
      <x:c r="A117" s="24" t="str">
        <x:v>E19</x:v>
      </x:c>
      <x:c r="B117" s="24" t="str">
        <x:v>Experimental</x:v>
      </x:c>
      <x:c r="C117" s="24" t="str">
        <x:v>Pre</x:v>
      </x:c>
      <x:c r="D117" s="26" t="n">
        <x:v>74</x:v>
      </x:c>
    </x:row>
    <x:row r="118">
      <x:c r="A118" s="24" t="str">
        <x:v>E19</x:v>
      </x:c>
      <x:c r="B118" s="24" t="str">
        <x:v>Experimental</x:v>
      </x:c>
      <x:c r="C118" s="24" t="str">
        <x:v>Pos</x:v>
      </x:c>
      <x:c r="D118" s="26" t="n">
        <x:v>86</x:v>
      </x:c>
    </x:row>
    <x:row r="119">
      <x:c r="A119" s="24" t="str">
        <x:v>E20</x:v>
      </x:c>
      <x:c r="B119" s="24" t="str">
        <x:v>Experimental</x:v>
      </x:c>
      <x:c r="C119" s="24" t="str">
        <x:v>Pre</x:v>
      </x:c>
      <x:c r="D119" s="26" t="n">
        <x:v>65</x:v>
      </x:c>
    </x:row>
    <x:row r="120">
      <x:c r="A120" s="24" t="str">
        <x:v>E20</x:v>
      </x:c>
      <x:c r="B120" s="24" t="str">
        <x:v>Experimental</x:v>
      </x:c>
      <x:c r="C120" s="24" t="str">
        <x:v>Pos</x:v>
      </x:c>
      <x:c r="D120" s="26" t="n">
        <x:v>81</x:v>
      </x:c>
    </x:row>
    <x:row r="121">
      <x:c r="A121" s="24" t="str">
        <x:v>E21</x:v>
      </x:c>
      <x:c r="B121" s="24" t="str">
        <x:v>Experimental</x:v>
      </x:c>
      <x:c r="C121" s="24" t="str">
        <x:v>Pre</x:v>
      </x:c>
      <x:c r="D121" s="26" t="n">
        <x:v>44</x:v>
      </x:c>
    </x:row>
    <x:row r="122">
      <x:c r="A122" s="24" t="str">
        <x:v>E21</x:v>
      </x:c>
      <x:c r="B122" s="24" t="str">
        <x:v>Experimental</x:v>
      </x:c>
      <x:c r="C122" s="24" t="str">
        <x:v>Pos</x:v>
      </x:c>
      <x:c r="D122" s="26" t="n">
        <x:v>71</x:v>
      </x:c>
    </x:row>
    <x:row r="123">
      <x:c r="A123" s="24" t="str">
        <x:v>E22</x:v>
      </x:c>
      <x:c r="B123" s="24" t="str">
        <x:v>Experimental</x:v>
      </x:c>
      <x:c r="C123" s="24" t="str">
        <x:v>Pre</x:v>
      </x:c>
      <x:c r="D123" s="26" t="n">
        <x:v>75</x:v>
      </x:c>
    </x:row>
    <x:row r="124">
      <x:c r="A124" s="24" t="str">
        <x:v>E22</x:v>
      </x:c>
      <x:c r="B124" s="24" t="str">
        <x:v>Experimental</x:v>
      </x:c>
      <x:c r="C124" s="24" t="str">
        <x:v>Pos</x:v>
      </x:c>
      <x:c r="D124" s="26" t="n">
        <x:v>87</x:v>
      </x:c>
    </x:row>
    <x:row r="125">
      <x:c r="A125" s="24" t="str">
        <x:v>E23</x:v>
      </x:c>
      <x:c r="B125" s="24" t="str">
        <x:v>Experimental</x:v>
      </x:c>
      <x:c r="C125" s="24" t="str">
        <x:v>Pre</x:v>
      </x:c>
      <x:c r="D125" s="26" t="n">
        <x:v>37</x:v>
      </x:c>
    </x:row>
    <x:row r="126">
      <x:c r="A126" s="24" t="str">
        <x:v>E23</x:v>
      </x:c>
      <x:c r="B126" s="24" t="str">
        <x:v>Experimental</x:v>
      </x:c>
      <x:c r="C126" s="24" t="str">
        <x:v>Pos</x:v>
      </x:c>
      <x:c r="D126" s="26" t="n">
        <x:v>68</x:v>
      </x:c>
    </x:row>
    <x:row r="127">
      <x:c r="A127" s="24" t="str">
        <x:v>E24</x:v>
      </x:c>
      <x:c r="B127" s="24" t="str">
        <x:v>Experimental</x:v>
      </x:c>
      <x:c r="C127" s="24" t="str">
        <x:v>Pre</x:v>
      </x:c>
      <x:c r="D127" s="26" t="n">
        <x:v>54</x:v>
      </x:c>
    </x:row>
    <x:row r="128">
      <x:c r="A128" s="24" t="str">
        <x:v>E24</x:v>
      </x:c>
      <x:c r="B128" s="24" t="str">
        <x:v>Experimental</x:v>
      </x:c>
      <x:c r="C128" s="24" t="str">
        <x:v>Pos</x:v>
      </x:c>
      <x:c r="D128" s="26" t="n">
        <x:v>76</x:v>
      </x:c>
    </x:row>
    <x:row r="129">
      <x:c r="A129" s="24" t="str">
        <x:v>E25</x:v>
      </x:c>
      <x:c r="B129" s="24" t="str">
        <x:v>Experimental</x:v>
      </x:c>
      <x:c r="C129" s="24" t="str">
        <x:v>Pre</x:v>
      </x:c>
      <x:c r="D129" s="26" t="n">
        <x:v>1</x:v>
      </x:c>
    </x:row>
    <x:row r="130">
      <x:c r="A130" s="24" t="str">
        <x:v>E25</x:v>
      </x:c>
      <x:c r="B130" s="24" t="str">
        <x:v>Experimental</x:v>
      </x:c>
      <x:c r="C130" s="24" t="str">
        <x:v>Pos</x:v>
      </x:c>
      <x:c r="D130" s="26" t="n">
        <x:v>62</x:v>
      </x:c>
    </x:row>
    <x:row r="131">
      <x:c r="A131" s="24" t="str">
        <x:v>E26</x:v>
      </x:c>
      <x:c r="B131" s="24" t="str">
        <x:v>Experimental</x:v>
      </x:c>
      <x:c r="C131" s="24" t="str">
        <x:v>Pre</x:v>
      </x:c>
      <x:c r="D131" s="26" t="n">
        <x:v>46</x:v>
      </x:c>
    </x:row>
    <x:row r="132">
      <x:c r="A132" s="24" t="str">
        <x:v>E26</x:v>
      </x:c>
      <x:c r="B132" s="24" t="str">
        <x:v>Experimental</x:v>
      </x:c>
      <x:c r="C132" s="24" t="str">
        <x:v>Pos</x:v>
      </x:c>
      <x:c r="D132" s="26" t="n">
        <x:v>72</x:v>
      </x:c>
    </x:row>
    <x:row r="133">
      <x:c r="A133" s="24" t="str">
        <x:v>E27</x:v>
      </x:c>
      <x:c r="B133" s="24" t="str">
        <x:v>Experimental</x:v>
      </x:c>
      <x:c r="C133" s="24" t="str">
        <x:v>Pre</x:v>
      </x:c>
      <x:c r="D133" s="26" t="n">
        <x:v>41</x:v>
      </x:c>
    </x:row>
    <x:row r="134">
      <x:c r="A134" s="24" t="str">
        <x:v>E27</x:v>
      </x:c>
      <x:c r="B134" s="24" t="str">
        <x:v>Experimental</x:v>
      </x:c>
      <x:c r="C134" s="24" t="str">
        <x:v>Pos</x:v>
      </x:c>
      <x:c r="D134" s="26" t="n">
        <x:v>69</x:v>
      </x:c>
    </x:row>
    <x:row r="135">
      <x:c r="A135" s="24" t="str">
        <x:v>E28</x:v>
      </x:c>
      <x:c r="B135" s="24" t="str">
        <x:v>Experimental</x:v>
      </x:c>
      <x:c r="C135" s="24" t="str">
        <x:v>Pre</x:v>
      </x:c>
      <x:c r="D135" s="26" t="n">
        <x:v>68</x:v>
      </x:c>
    </x:row>
    <x:row r="136">
      <x:c r="A136" s="24" t="str">
        <x:v>E28</x:v>
      </x:c>
      <x:c r="B136" s="24" t="str">
        <x:v>Experimental</x:v>
      </x:c>
      <x:c r="C136" s="24" t="str">
        <x:v>Pos</x:v>
      </x:c>
      <x:c r="D136" s="26" t="n">
        <x:v>83</x:v>
      </x:c>
    </x:row>
    <x:row r="137">
      <x:c r="A137" s="24" t="str">
        <x:v>E29</x:v>
      </x:c>
      <x:c r="B137" s="24" t="str">
        <x:v>Experimental</x:v>
      </x:c>
      <x:c r="C137" s="24" t="str">
        <x:v>Pre</x:v>
      </x:c>
      <x:c r="D137" s="26" t="n">
        <x:v>13</x:v>
      </x:c>
    </x:row>
    <x:row r="138">
      <x:c r="A138" s="24" t="str">
        <x:v>E29</x:v>
      </x:c>
      <x:c r="B138" s="24" t="str">
        <x:v>Experimental</x:v>
      </x:c>
      <x:c r="C138" s="24" t="str">
        <x:v>Pos</x:v>
      </x:c>
      <x:c r="D138" s="26" t="n">
        <x:v>67</x:v>
      </x:c>
    </x:row>
    <x:row r="139">
      <x:c r="A139" s="24" t="str">
        <x:v>E30</x:v>
      </x:c>
      <x:c r="B139" s="24" t="str">
        <x:v>Experimental</x:v>
      </x:c>
      <x:c r="C139" s="24" t="str">
        <x:v>Pre</x:v>
      </x:c>
      <x:c r="D139" s="26" t="n">
        <x:v>60</x:v>
      </x:c>
    </x:row>
    <x:row r="140">
      <x:c r="A140" s="24" t="str">
        <x:v>E30</x:v>
      </x:c>
      <x:c r="B140" s="24" t="str">
        <x:v>Experimental</x:v>
      </x:c>
      <x:c r="C140" s="24" t="str">
        <x:v>Pos</x:v>
      </x:c>
      <x:c r="D140" s="26" t="n">
        <x:v>79</x:v>
      </x:c>
    </x:row>
    <x:row r="141">
      <x:c r="A141" s="24" t="str">
        <x:v>E31</x:v>
      </x:c>
      <x:c r="B141" s="24" t="str">
        <x:v>Experimental</x:v>
      </x:c>
      <x:c r="C141" s="24" t="str">
        <x:v>Pre</x:v>
      </x:c>
      <x:c r="D141" s="26" t="n">
        <x:v>62</x:v>
      </x:c>
    </x:row>
    <x:row r="142">
      <x:c r="A142" s="24" t="str">
        <x:v>E31</x:v>
      </x:c>
      <x:c r="B142" s="24" t="str">
        <x:v>Experimental</x:v>
      </x:c>
      <x:c r="C142" s="24" t="str">
        <x:v>Pos</x:v>
      </x:c>
      <x:c r="D142" s="26" t="n">
        <x:v>80</x:v>
      </x:c>
    </x:row>
    <x:row r="143">
      <x:c r="A143" s="24" t="str">
        <x:v>E32</x:v>
      </x:c>
      <x:c r="B143" s="24" t="str">
        <x:v>Experimental</x:v>
      </x:c>
      <x:c r="C143" s="24" t="str">
        <x:v>Pre</x:v>
      </x:c>
      <x:c r="D143" s="26" t="n">
        <x:v>67</x:v>
      </x:c>
    </x:row>
    <x:row r="144">
      <x:c r="A144" s="24" t="str">
        <x:v>E32</x:v>
      </x:c>
      <x:c r="B144" s="24" t="str">
        <x:v>Experimental</x:v>
      </x:c>
      <x:c r="C144" s="24" t="str">
        <x:v>Pos</x:v>
      </x:c>
      <x:c r="D144" s="26" t="n">
        <x:v>82</x:v>
      </x:c>
    </x:row>
    <x:row r="145">
      <x:c r="A145" s="24" t="str">
        <x:v>E33</x:v>
      </x:c>
      <x:c r="B145" s="24" t="str">
        <x:v>Experimental</x:v>
      </x:c>
      <x:c r="C145" s="24" t="str">
        <x:v>Pre</x:v>
      </x:c>
      <x:c r="D145" s="26" t="n">
        <x:v>63</x:v>
      </x:c>
    </x:row>
    <x:row r="146">
      <x:c r="A146" s="24" t="str">
        <x:v>E33</x:v>
      </x:c>
      <x:c r="B146" s="24" t="str">
        <x:v>Experimental</x:v>
      </x:c>
      <x:c r="C146" s="24" t="str">
        <x:v>Pos</x:v>
      </x:c>
      <x:c r="D146" s="26" t="n">
        <x:v>80</x:v>
      </x:c>
    </x:row>
    <x:row r="147">
      <x:c r="A147" s="24" t="str">
        <x:v>E34</x:v>
      </x:c>
      <x:c r="B147" s="24" t="str">
        <x:v>Experimental</x:v>
      </x:c>
      <x:c r="C147" s="24" t="str">
        <x:v>Pre</x:v>
      </x:c>
      <x:c r="D147" s="26" t="n">
        <x:v>4</x:v>
      </x:c>
    </x:row>
    <x:row r="148">
      <x:c r="A148" s="24" t="str">
        <x:v>E34</x:v>
      </x:c>
      <x:c r="B148" s="24" t="str">
        <x:v>Experimental</x:v>
      </x:c>
      <x:c r="C148" s="24" t="str">
        <x:v>Pos</x:v>
      </x:c>
      <x:c r="D148" s="26" t="n">
        <x:v>64</x:v>
      </x:c>
    </x:row>
    <x:row r="149">
      <x:c r="A149" s="24" t="str">
        <x:v>E35</x:v>
      </x:c>
      <x:c r="B149" s="24" t="str">
        <x:v>Experimental</x:v>
      </x:c>
      <x:c r="C149" s="24" t="str">
        <x:v>Pre</x:v>
      </x:c>
      <x:c r="D149" s="26" t="n">
        <x:v>39</x:v>
      </x:c>
    </x:row>
    <x:row r="150">
      <x:c r="A150" s="24" t="str">
        <x:v>E35</x:v>
      </x:c>
      <x:c r="B150" s="24" t="str">
        <x:v>Experimental</x:v>
      </x:c>
      <x:c r="C150" s="24" t="str">
        <x:v>Pos</x:v>
      </x:c>
      <x:c r="D150" s="26" t="n">
        <x:v>69</x:v>
      </x:c>
    </x:row>
    <x:row r="151">
      <x:c r="A151" s="24" t="str">
        <x:v>E36</x:v>
      </x:c>
      <x:c r="B151" s="24" t="str">
        <x:v>Experimental</x:v>
      </x:c>
      <x:c r="C151" s="24" t="str">
        <x:v>Pre</x:v>
      </x:c>
      <x:c r="D151" s="26" t="n">
        <x:v>79</x:v>
      </x:c>
    </x:row>
    <x:row r="152">
      <x:c r="A152" s="24" t="str">
        <x:v>E36</x:v>
      </x:c>
      <x:c r="B152" s="24" t="str">
        <x:v>Experimental</x:v>
      </x:c>
      <x:c r="C152" s="24" t="str">
        <x:v>Pos</x:v>
      </x:c>
      <x:c r="D152" s="26" t="n">
        <x:v>88</x:v>
      </x:c>
    </x:row>
    <x:row r="153">
      <x:c r="A153" s="24" t="str">
        <x:v>E37</x:v>
      </x:c>
      <x:c r="B153" s="24" t="str">
        <x:v>Experimental</x:v>
      </x:c>
      <x:c r="C153" s="24" t="str">
        <x:v>Pre</x:v>
      </x:c>
      <x:c r="D153" s="26" t="n">
        <x:v>71</x:v>
      </x:c>
    </x:row>
    <x:row r="154">
      <x:c r="A154" s="24" t="str">
        <x:v>E37</x:v>
      </x:c>
      <x:c r="B154" s="24" t="str">
        <x:v>Experimental</x:v>
      </x:c>
      <x:c r="C154" s="24" t="str">
        <x:v>Pos</x:v>
      </x:c>
      <x:c r="D154" s="26" t="n">
        <x:v>85</x:v>
      </x:c>
    </x:row>
    <x:row r="155">
      <x:c r="A155" s="24" t="str">
        <x:v>E38</x:v>
      </x:c>
      <x:c r="B155" s="24" t="str">
        <x:v>Experimental</x:v>
      </x:c>
      <x:c r="C155" s="24" t="str">
        <x:v>Pre</x:v>
      </x:c>
      <x:c r="D155" s="26" t="n">
        <x:v>60</x:v>
      </x:c>
    </x:row>
    <x:row r="156">
      <x:c r="A156" s="24" t="str">
        <x:v>E38</x:v>
      </x:c>
      <x:c r="B156" s="24" t="str">
        <x:v>Experimental</x:v>
      </x:c>
      <x:c r="C156" s="24" t="str">
        <x:v>Pos</x:v>
      </x:c>
      <x:c r="D156" s="26" t="n">
        <x:v>78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6d11c75eee0b422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90" hidden="0" customWidth="1"/>
  </x:cols>
  <x:sheetData>
    <x:row r="1">
      <x:c r="A1" s="4" t="str">
        <x:v>Listas para copiar en la calculadora estadística</x:v>
      </x:c>
      <x:c r="B1" s="4"/>
      <x:c r="C1" s="4"/>
    </x:row>
    <x:row r="2" ht="36" customHeight="1">
      <x:c r="A2" s="9" t="str">
        <x:v>Copia la lista completa de la columna C y pégala en la calculadora. Las listas de ganancia serán útiles para la parte inferencial.</x:v>
      </x:c>
      <x:c r="B2" s="9"/>
      <x:c r="C2" s="9"/>
    </x:row>
    <x:row r="4">
      <x:c r="A4" s="16" t="str">
        <x:v>Variable</x:v>
      </x:c>
      <x:c r="B4" s="16" t="str">
        <x:v>Condición</x:v>
      </x:c>
      <x:c r="C4" s="16" t="str">
        <x:v>Lista separada por comas</x:v>
      </x:c>
    </x:row>
    <x:row r="5" ht="70" customHeight="1">
      <x:c r="A5" s="32" t="str">
        <x:v>Pre_Control</x:v>
      </x:c>
      <x:c r="B5" s="32" t="str">
        <x:v>Control / Pre</x:v>
      </x:c>
      <x:c r="C5" s="34" t="str">
        <x:v>68, 76, 44, 47, 11, 60, 51, 54, 64, 65, 38, 72, 45, 74, 40, 46, 62, 78, 5, 2, 56, 55, 59, 53, 52, 57, 48, 8, 50, 49, 58, 43, 70, 63, 42, 61, 66, 14</x:v>
      </x:c>
    </x:row>
    <x:row r="6" ht="70" customHeight="1">
      <x:c r="A6" s="32" t="str">
        <x:v>Pos_Control</x:v>
      </x:c>
      <x:c r="B6" s="32" t="str">
        <x:v>Control / Pos</x:v>
      </x:c>
      <x:c r="C6" s="34" t="str">
        <x:v>66, 81, 44, 45, 13, 55, 56, 54, 64, 61, 34, 72, 40, 69, 45, 53, 59, 77, 6, 4, 62, 51, 60, 56, 51, 55, 52, 11, 44, 50, 62, 49, 74, 68, 39, 67, 73, 15</x:v>
      </x:c>
    </x:row>
    <x:row r="7" ht="70" customHeight="1">
      <x:c r="A7" s="32" t="str">
        <x:v>Ganancia_Control</x:v>
      </x:c>
      <x:c r="B7" s="32" t="str">
        <x:v>Control / Pos - Pre</x:v>
      </x:c>
      <x:c r="C7" s="34" t="str">
        <x:v>-2, 5, 0, -2, 2, -5, 5, 0, 0, -4, -4, 0, -5, -5, 5, 7, -3, -1, 1, 2, 6, -4, 1, 3, -1, -2, 4, 3, -6, 1, 4, 6, 4, 5, -3, 6, 7, 1</x:v>
      </x:c>
    </x:row>
    <x:row r="8" ht="70" customHeight="1">
      <x:c r="A8" s="32" t="str">
        <x:v>Pre_Experimental</x:v>
      </x:c>
      <x:c r="B8" s="32" t="str">
        <x:v>Experimental / Pre</x:v>
      </x:c>
      <x:c r="C8" s="34" t="str">
        <x:v>50, 53, 52, 70, 49, 10, 56, 51, 55, 59, 43, 66, 7, 50, 45, 57, 61, 47, 74, 65, 44, 75, 37, 54, 1, 46, 41, 68, 13, 60, 62, 67, 63, 4, 39, 79, 71, 60</x:v>
      </x:c>
    </x:row>
    <x:row r="9" ht="70" customHeight="1">
      <x:c r="A9" s="32" t="str">
        <x:v>Pos_Experimental</x:v>
      </x:c>
      <x:c r="B9" s="32" t="str">
        <x:v>Experimental / Pos</x:v>
      </x:c>
      <x:c r="C9" s="34" t="str">
        <x:v>74, 75, 75, 84, 73, 66, 77, 74, 76, 78, 70, 81, 65, 73, 71, 77, 79, 72, 86, 81, 71, 87, 68, 76, 62, 72, 69, 83, 67, 79, 80, 82, 80, 64, 69, 88, 85, 78</x:v>
      </x:c>
    </x:row>
    <x:row r="10" ht="70" customHeight="1">
      <x:c r="A10" s="32" t="str">
        <x:v>Ganancia_Experimental</x:v>
      </x:c>
      <x:c r="B10" s="32" t="str">
        <x:v>Experimental / Pos - Pre</x:v>
      </x:c>
      <x:c r="C10" s="34" t="str">
        <x:v>24, 22, 23, 14, 24, 56, 21, 23, 21, 19, 27, 15, 58, 23, 26, 20, 18, 25, 12, 16, 27, 12, 31, 22, 61, 26, 28, 15, 54, 19, 18, 15, 17, 60, 30, 9, 14, 18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f6d756113022485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0" hidden="0" customWidth="1"/>
    <x:col min="4" max="4" width="20" hidden="0" customWidth="1"/>
    <x:col min="5" max="5" width="35" hidden="0" customWidth="1"/>
    <x:col min="6" max="6" width="15" hidden="0" customWidth="1"/>
    <x:col min="7" max="7" width="28" hidden="0" customWidth="1"/>
  </x:cols>
  <x:sheetData>
    <x:row r="1" ht="30" customHeight="1">
      <x:c r="A1" s="4" t="str">
        <x:v>Actividad 1: Estadística descriptiva</x:v>
      </x:c>
      <x:c r="B1" s="4"/>
      <x:c r="C1" s="4"/>
      <x:c r="D1" s="4"/>
      <x:c r="E1" s="4"/>
      <x:c r="F1" s="4"/>
      <x:c r="G1" s="4"/>
      <x:c r="H1" s="4"/>
    </x:row>
    <x:row r="3" ht="58" customHeight="1">
      <x:c r="A3" s="39" t="str">
        <x:v>Contexto</x:v>
      </x:c>
      <x:c r="B3" s="29" t="str">
        <x:v>Se evaluó el desempeño matemático de estudiantes de licenciatura en pedagogía. El grupo control recibió enseñanza habitual; el grupo experimental recibió enseñanza con apoyo de gamificación. Cada estudiante tiene medición pre y pos.</x:v>
      </x:c>
      <x:c r="D3" s="16" t="str">
        <x:v>Variable</x:v>
      </x:c>
      <x:c r="E3" s="16" t="str">
        <x:v>Descripción</x:v>
      </x:c>
      <x:c r="F3" s="16" t="str">
        <x:v>Escala</x:v>
      </x:c>
      <x:c r="G3" s="16" t="str">
        <x:v>Uso sugerido</x:v>
      </x:c>
    </x:row>
    <x:row r="4" ht="58" customHeight="1">
      <x:c r="A4" s="39" t="str">
        <x:v>Instrucción general</x:v>
      </x:c>
      <x:c r="B4" s="29" t="str">
        <x:v>Usa la hoja Listas_Calculadora para copiar cada conjunto de datos en la calculadora estadística. Trabaja primero con Pre_Control, Pre_Experimental, Pos_Control y Pos_Experimental.</x:v>
      </x:c>
      <x:c r="D4" s="29" t="str">
        <x:v>Grupo</x:v>
      </x:c>
      <x:c r="E4" s="29" t="str">
        <x:v>Control o Experimental</x:v>
      </x:c>
      <x:c r="F4" s="29" t="str">
        <x:v>Categórica nominal</x:v>
      </x:c>
      <x:c r="G4" s="29" t="str">
        <x:v>Comparar condiciones de enseñanza</x:v>
      </x:c>
    </x:row>
    <x:row r="5" ht="58" customHeight="1">
      <x:c r="A5" s="39" t="str">
        <x:v>Producto 1</x:v>
      </x:c>
      <x:c r="B5" s="29" t="str">
        <x:v>Elabora una tabla con n, media, mediana, moda, desviación estándar, mínimo, Q1, Q3, IQR, máximo, sesgo y curtosis para cada condición.</x:v>
      </x:c>
      <x:c r="D5" s="29" t="str">
        <x:v>Pre_Matemáticas</x:v>
      </x:c>
      <x:c r="E5" s="29" t="str">
        <x:v>Puntaje antes de la intervención</x:v>
      </x:c>
      <x:c r="F5" s="29" t="str">
        <x:v>0 a 100</x:v>
      </x:c>
      <x:c r="G5" s="29" t="str">
        <x:v>Equivalencia inicial</x:v>
      </x:c>
    </x:row>
    <x:row r="6" ht="58" customHeight="1">
      <x:c r="A6" s="39" t="str">
        <x:v>Producto 2</x:v>
      </x:c>
      <x:c r="B6" s="29" t="str">
        <x:v>Para cada condición, guarda o dibuja histograma, curva de densidad, boxplot y Q-Q plot. Describe qué observas sin usar todavía pruebas de hipótesis.</x:v>
      </x:c>
      <x:c r="D6" s="29" t="str">
        <x:v>Pos_Matemáticas</x:v>
      </x:c>
      <x:c r="E6" s="29" t="str">
        <x:v>Puntaje después de la intervención</x:v>
      </x:c>
      <x:c r="F6" s="29" t="str">
        <x:v>0 a 100</x:v>
      </x:c>
      <x:c r="G6" s="29" t="str">
        <x:v>Resultado final</x:v>
      </x:c>
    </x:row>
    <x:row r="7" ht="58" customHeight="1">
      <x:c r="A7" s="39" t="str">
        <x:v>Pregunta A</x:v>
      </x:c>
      <x:c r="B7" s="29" t="str">
        <x:v>¿Los grupos control y experimental parecen comparables en la medición pre? Justifica con medidas de tendencia central, dispersión y forma de la distribución.</x:v>
      </x:c>
      <x:c r="D7" s="29" t="str">
        <x:v>Ganancia</x:v>
      </x:c>
      <x:c r="E7" s="29" t="str">
        <x:v>Pos - Pre</x:v>
      </x:c>
      <x:c r="F7" s="29" t="str">
        <x:v>Puntos</x:v>
      </x:c>
      <x:c r="G7" s="29" t="str">
        <x:v>Cambio individual</x:v>
      </x:c>
    </x:row>
    <x:row r="8" ht="58" customHeight="1">
      <x:c r="A8" s="39" t="str">
        <x:v>Pregunta B</x:v>
      </x:c>
      <x:c r="B8" s="29" t="str">
        <x:v>¿Qué cambios descriptivos observas del pre al pos en el grupo control? Considera tendencia central, dispersión, forma y valores atípicos.</x:v>
      </x:c>
    </x:row>
    <x:row r="9" ht="58" customHeight="1">
      <x:c r="A9" s="39" t="str">
        <x:v>Pregunta C</x:v>
      </x:c>
      <x:c r="B9" s="29" t="str">
        <x:v>¿Qué cambios descriptivos observas del pre al pos en el grupo experimental? Considera tendencia central, dispersión, forma y valores atípicos.</x:v>
      </x:c>
    </x:row>
    <x:row r="10" ht="58" customHeight="1">
      <x:c r="A10" s="39" t="str">
        <x:v>Pregunta D</x:v>
      </x:c>
      <x:c r="B10" s="29" t="str">
        <x:v>Redacta una conclusión descriptiva breve sobre el posible efecto de la gamificación antes de pasar a normalidad e inferencia.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3ac48f700d8741c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4" t="str">
        <x:v>Resumen descriptivo con fórmulas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6" customHeight="1">
      <x:c r="A2" s="9" t="str">
        <x:v>Esta hoja calcula los estadísticos básicos a partir de Base_Datos. Puede usarse como comprobación, pero los estudiantes deben practicar con la calculadora.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>
      <x:c r="A4" s="16" t="str">
        <x:v>Variable</x:v>
      </x:c>
      <x:c r="B4" s="16" t="str">
        <x:v>n</x:v>
      </x:c>
      <x:c r="C4" s="16" t="str">
        <x:v>Media</x:v>
      </x:c>
      <x:c r="D4" s="16" t="str">
        <x:v>Mediana</x:v>
      </x:c>
      <x:c r="E4" s="16" t="str">
        <x:v>Moda</x:v>
      </x:c>
      <x:c r="F4" s="16" t="str">
        <x:v>Desv.Est.</x:v>
      </x:c>
      <x:c r="G4" s="16" t="str">
        <x:v>Mín</x:v>
      </x:c>
      <x:c r="H4" s="16" t="str">
        <x:v>Q1</x:v>
      </x:c>
      <x:c r="I4" s="16" t="str">
        <x:v>Q3</x:v>
      </x:c>
      <x:c r="J4" s="16" t="str">
        <x:v>IQR</x:v>
      </x:c>
      <x:c r="K4" s="16" t="str">
        <x:v>Máx</x:v>
      </x:c>
      <x:c r="L4" s="16" t="str">
        <x:v>Sesgo</x:v>
      </x:c>
      <x:c r="M4" s="16" t="str">
        <x:v>Curtosis</x:v>
      </x:c>
      <x:c r="N4" s="16" t="str">
        <x:v>Outliers Tukey</x:v>
      </x:c>
    </x:row>
    <x:row r="5">
      <x:c r="A5" s="22" t="str">
        <x:v>Pre_Control</x:v>
      </x:c>
      <x:c r="B5" s="44" t="n">
        <x:f>COUNT('Base_Datos'!$D$5:$D$42)</x:f>
        <x:v>38</x:v>
      </x:c>
      <x:c r="C5" s="44" t="n">
        <x:f>AVERAGE('Base_Datos'!$D$5:$D$42)</x:f>
        <x:v>50.1578947368421</x:v>
      </x:c>
      <x:c r="D5" s="44" t="n">
        <x:f>MEDIAN('Base_Datos'!$D$5:$D$42)</x:f>
        <x:v>53.5</x:v>
      </x:c>
      <x:c r="E5" s="22" t="n">
        <x:f>IFERROR(MODE.SNGL('Base_Datos'!$D$5:$D$42),"Sin moda")</x:f>
        <x:v>2</x:v>
      </x:c>
      <x:c r="F5" s="44" t="n">
        <x:f>STDEV.S('Base_Datos'!$D$5:$D$42)</x:f>
        <x:v>19.51925773371279</x:v>
      </x:c>
      <x:c r="G5" s="44" t="n">
        <x:f>MIN('Base_Datos'!$D$5:$D$42)</x:f>
        <x:v>2</x:v>
      </x:c>
      <x:c r="H5" s="44" t="n">
        <x:f>QUARTILE.INC('Base_Datos'!$D$5:$D$42,1)</x:f>
        <x:v>44.25</x:v>
      </x:c>
      <x:c r="I5" s="44" t="n">
        <x:f>QUARTILE.INC('Base_Datos'!$D$5:$D$42,3)</x:f>
        <x:v>62.75</x:v>
      </x:c>
      <x:c r="J5" s="44" t="n">
        <x:f>I5-H5</x:f>
        <x:v>18.5</x:v>
      </x:c>
      <x:c r="K5" s="44" t="n">
        <x:f>MAX('Base_Datos'!$D$5:$D$42)</x:f>
        <x:v>78</x:v>
      </x:c>
      <x:c r="L5" s="44" t="n">
        <x:f>SKEW('Base_Datos'!$D$5:$D$42)</x:f>
        <x:v>-1.1360740508167912</x:v>
      </x:c>
      <x:c r="M5" s="44" t="n">
        <x:f>KURT('Base_Datos'!$D$5:$D$42)</x:f>
        <x:v>0.8760275788081682</x:v>
      </x:c>
      <x:c r="N5" s="46" t="n">
        <x:f>SUMPRODUCT(--('Base_Datos'!$D$5:$D$42&lt;($H5-1.5*$J5)))+SUMPRODUCT(--('Base_Datos'!$D$5:$D$42&gt;($I5+1.5*$J5)))</x:f>
        <x:v>5</x:v>
      </x:c>
    </x:row>
    <x:row r="6">
      <x:c r="A6" s="22" t="str">
        <x:v>Pre_Experimental</x:v>
      </x:c>
      <x:c r="B6" s="44" t="n">
        <x:f>COUNT('Base_Datos'!$D$43:$D$80)</x:f>
        <x:v>38</x:v>
      </x:c>
      <x:c r="C6" s="44" t="n">
        <x:f>AVERAGE('Base_Datos'!$D$43:$D$80)</x:f>
        <x:v>50.10526315789474</x:v>
      </x:c>
      <x:c r="D6" s="44" t="n">
        <x:f>MEDIAN('Base_Datos'!$D$43:$D$80)</x:f>
        <x:v>53.5</x:v>
      </x:c>
      <x:c r="E6" s="22" t="n">
        <x:f>IFERROR(MODE.SNGL('Base_Datos'!$D$43:$D$80),"Sin moda")</x:f>
        <x:v>50</x:v>
      </x:c>
      <x:c r="F6" s="44" t="n">
        <x:f>STDEV.S('Base_Datos'!$D$43:$D$80)</x:f>
        <x:v>19.914397173746966</x:v>
      </x:c>
      <x:c r="G6" s="44" t="n">
        <x:f>MIN('Base_Datos'!$D$43:$D$80)</x:f>
        <x:v>1</x:v>
      </x:c>
      <x:c r="H6" s="44" t="n">
        <x:f>QUARTILE.INC('Base_Datos'!$D$43:$D$80,1)</x:f>
        <x:v>44.25</x:v>
      </x:c>
      <x:c r="I6" s="44" t="n">
        <x:f>QUARTILE.INC('Base_Datos'!$D$43:$D$80,3)</x:f>
        <x:v>62.75</x:v>
      </x:c>
      <x:c r="J6" s="44" t="n">
        <x:f>I6-H6</x:f>
        <x:v>18.5</x:v>
      </x:c>
      <x:c r="K6" s="44" t="n">
        <x:f>MAX('Base_Datos'!$D$43:$D$80)</x:f>
        <x:v>79</x:v>
      </x:c>
      <x:c r="L6" s="44" t="n">
        <x:f>SKEW('Base_Datos'!$D$43:$D$80)</x:f>
        <x:v>-1.1585492273216929</x:v>
      </x:c>
      <x:c r="M6" s="44" t="n">
        <x:f>KURT('Base_Datos'!$D$43:$D$80)</x:f>
        <x:v>0.8773897023962789</x:v>
      </x:c>
      <x:c r="N6" s="46" t="n">
        <x:f>SUMPRODUCT(--('Base_Datos'!$D$43:$D$80&lt;($H6-1.5*$J6)))+SUMPRODUCT(--('Base_Datos'!$D$43:$D$80&gt;($I6+1.5*$J6)))</x:f>
        <x:v>5</x:v>
      </x:c>
    </x:row>
    <x:row r="7">
      <x:c r="A7" s="22" t="str">
        <x:v>Pos_Control</x:v>
      </x:c>
      <x:c r="B7" s="44" t="n">
        <x:f>COUNT('Base_Datos'!$E$5:$E$42)</x:f>
        <x:v>38</x:v>
      </x:c>
      <x:c r="C7" s="44" t="n">
        <x:f>AVERAGE('Base_Datos'!$E$5:$E$42)</x:f>
        <x:v>50.973684210526315</x:v>
      </x:c>
      <x:c r="D7" s="44" t="n">
        <x:f>MEDIAN('Base_Datos'!$E$5:$E$42)</x:f>
        <x:v>54.5</x:v>
      </x:c>
      <x:c r="E7" s="22" t="n">
        <x:f>IFERROR(MODE.SNGL('Base_Datos'!$E$5:$E$42),"Sin moda")</x:f>
        <x:v>44</x:v>
      </x:c>
      <x:c r="F7" s="44" t="n">
        <x:f>STDEV.S('Base_Datos'!$E$5:$E$42)</x:f>
        <x:v>19.57589091149271</x:v>
      </x:c>
      <x:c r="G7" s="44" t="n">
        <x:f>MIN('Base_Datos'!$E$5:$E$42)</x:f>
        <x:v>4</x:v>
      </x:c>
      <x:c r="H7" s="44" t="n">
        <x:f>QUARTILE.INC('Base_Datos'!$E$5:$E$42,1)</x:f>
        <x:v>44.25</x:v>
      </x:c>
      <x:c r="I7" s="44" t="n">
        <x:f>QUARTILE.INC('Base_Datos'!$E$5:$E$42,3)</x:f>
        <x:v>63.5</x:v>
      </x:c>
      <x:c r="J7" s="44" t="n">
        <x:f>I7-H7</x:f>
        <x:v>19.25</x:v>
      </x:c>
      <x:c r="K7" s="44" t="n">
        <x:f>MAX('Base_Datos'!$E$5:$E$42)</x:f>
        <x:v>81</x:v>
      </x:c>
      <x:c r="L7" s="44" t="n">
        <x:f>SKEW('Base_Datos'!$E$5:$E$42)</x:f>
        <x:v>-1.0118509871760273</x:v>
      </x:c>
      <x:c r="M7" s="44" t="n">
        <x:f>KURT('Base_Datos'!$E$5:$E$42)</x:f>
        <x:v>0.5857514438514961</x:v>
      </x:c>
      <x:c r="N7" s="46" t="n">
        <x:f>SUMPRODUCT(--('Base_Datos'!$E$5:$E$42&lt;($H7-1.5*$J7)))+SUMPRODUCT(--('Base_Datos'!$E$5:$E$42&gt;($I7+1.5*$J7)))</x:f>
        <x:v>5</x:v>
      </x:c>
    </x:row>
    <x:row r="8">
      <x:c r="A8" s="22" t="str">
        <x:v>Pos_Experimental</x:v>
      </x:c>
      <x:c r="B8" s="44" t="n">
        <x:f>COUNT('Base_Datos'!$E$43:$E$80)</x:f>
        <x:v>38</x:v>
      </x:c>
      <x:c r="C8" s="44" t="n">
        <x:f>AVERAGE('Base_Datos'!$E$43:$E$80)</x:f>
        <x:v>75.44736842105263</x:v>
      </x:c>
      <x:c r="D8" s="44" t="n">
        <x:f>MEDIAN('Base_Datos'!$E$43:$E$80)</x:f>
        <x:v>75.5</x:v>
      </x:c>
      <x:c r="E8" s="22" t="n">
        <x:f>IFERROR(MODE.SNGL('Base_Datos'!$E$43:$E$80),"Sin moda")</x:f>
        <x:v>69</x:v>
      </x:c>
      <x:c r="F8" s="44" t="n">
        <x:f>STDEV.S('Base_Datos'!$E$43:$E$80)</x:f>
        <x:v>6.6645385413174365</x:v>
      </x:c>
      <x:c r="G8" s="44" t="n">
        <x:f>MIN('Base_Datos'!$E$43:$E$80)</x:f>
        <x:v>62</x:v>
      </x:c>
      <x:c r="H8" s="44" t="n">
        <x:f>QUARTILE.INC('Base_Datos'!$E$43:$E$80,1)</x:f>
        <x:v>71</x:v>
      </x:c>
      <x:c r="I8" s="44" t="n">
        <x:f>QUARTILE.INC('Base_Datos'!$E$43:$E$80,3)</x:f>
        <x:v>80</x:v>
      </x:c>
      <x:c r="J8" s="44" t="n">
        <x:f>I8-H8</x:f>
        <x:v>9</x:v>
      </x:c>
      <x:c r="K8" s="44" t="n">
        <x:f>MAX('Base_Datos'!$E$43:$E$80)</x:f>
        <x:v>88</x:v>
      </x:c>
      <x:c r="L8" s="44" t="n">
        <x:f>SKEW('Base_Datos'!$E$43:$E$80)</x:f>
        <x:v>-0.03431094148850324</x:v>
      </x:c>
      <x:c r="M8" s="44" t="n">
        <x:f>KURT('Base_Datos'!$E$43:$E$80)</x:f>
        <x:v>-0.6749954017485442</x:v>
      </x:c>
      <x:c r="N8" s="46" t="n">
        <x:f>SUMPRODUCT(--('Base_Datos'!$E$43:$E$80&lt;($H8-1.5*$J8)))+SUMPRODUCT(--('Base_Datos'!$E$43:$E$80&gt;($I8+1.5*$J8)))</x:f>
        <x:v>0</x:v>
      </x:c>
    </x:row>
    <x:row r="9">
      <x:c r="A9" s="22" t="str">
        <x:v>Ganancia_Control</x:v>
      </x:c>
      <x:c r="B9" s="44" t="n">
        <x:f>COUNT('Base_Datos'!$F$5:$F$42)</x:f>
        <x:v>38</x:v>
      </x:c>
      <x:c r="C9" s="44" t="n">
        <x:f>AVERAGE('Base_Datos'!$F$5:$F$42)</x:f>
        <x:v>0.8157894736842105</x:v>
      </x:c>
      <x:c r="D9" s="44" t="n">
        <x:f>MEDIAN('Base_Datos'!$F$5:$F$42)</x:f>
        <x:v>1</x:v>
      </x:c>
      <x:c r="E9" s="22" t="n">
        <x:f>IFERROR(MODE.SNGL('Base_Datos'!$F$5:$F$42),"Sin moda")</x:f>
        <x:v>0</x:v>
      </x:c>
      <x:c r="F9" s="44" t="n">
        <x:f>STDEV.S('Base_Datos'!$F$5:$F$42)</x:f>
        <x:v>3.8544832665064326</x:v>
      </x:c>
      <x:c r="G9" s="44" t="n">
        <x:f>MIN('Base_Datos'!$F$5:$F$42)</x:f>
        <x:v>-6</x:v>
      </x:c>
      <x:c r="H9" s="44" t="n">
        <x:f>QUARTILE.INC('Base_Datos'!$F$5:$F$42,1)</x:f>
        <x:v>-2</x:v>
      </x:c>
      <x:c r="I9" s="44" t="n">
        <x:f>QUARTILE.INC('Base_Datos'!$F$5:$F$42,3)</x:f>
        <x:v>4</x:v>
      </x:c>
      <x:c r="J9" s="44" t="n">
        <x:f>I9-H9</x:f>
        <x:v>6</x:v>
      </x:c>
      <x:c r="K9" s="44" t="n">
        <x:f>MAX('Base_Datos'!$F$5:$F$42)</x:f>
        <x:v>7</x:v>
      </x:c>
      <x:c r="L9" s="44" t="n">
        <x:f>SKEW('Base_Datos'!$F$5:$F$42)</x:f>
        <x:v>-0.06425199955826996</x:v>
      </x:c>
      <x:c r="M9" s="44" t="n">
        <x:f>KURT('Base_Datos'!$F$5:$F$42)</x:f>
        <x:v>-1.1689849495951212</x:v>
      </x:c>
      <x:c r="N9" s="46" t="n">
        <x:f>SUMPRODUCT(--('Base_Datos'!$F$5:$F$42&lt;($H9-1.5*$J9)))+SUMPRODUCT(--('Base_Datos'!$F$5:$F$42&gt;($I9+1.5*$J9)))</x:f>
        <x:v>0</x:v>
      </x:c>
    </x:row>
    <x:row r="10">
      <x:c r="A10" s="22" t="str">
        <x:v>Ganancia_Experimental</x:v>
      </x:c>
      <x:c r="B10" s="44" t="n">
        <x:f>COUNT('Base_Datos'!$F$43:$F$80)</x:f>
        <x:v>38</x:v>
      </x:c>
      <x:c r="C10" s="44" t="n">
        <x:f>AVERAGE('Base_Datos'!$F$43:$F$80)</x:f>
        <x:v>25.342105263157894</x:v>
      </x:c>
      <x:c r="D10" s="44" t="n">
        <x:f>MEDIAN('Base_Datos'!$F$43:$F$80)</x:f>
        <x:v>22</x:v>
      </x:c>
      <x:c r="E10" s="22" t="n">
        <x:f>IFERROR(MODE.SNGL('Base_Datos'!$F$43:$F$80),"Sin moda")</x:f>
        <x:v>15</x:v>
      </x:c>
      <x:c r="F10" s="44" t="n">
        <x:f>STDEV.S('Base_Datos'!$F$43:$F$80)</x:f>
        <x:v>13.829612403529737</x:v>
      </x:c>
      <x:c r="G10" s="44" t="n">
        <x:f>MIN('Base_Datos'!$F$43:$F$80)</x:f>
        <x:v>9</x:v>
      </x:c>
      <x:c r="H10" s="44" t="n">
        <x:f>QUARTILE.INC('Base_Datos'!$F$43:$F$80,1)</x:f>
        <x:v>17.25</x:v>
      </x:c>
      <x:c r="I10" s="44" t="n">
        <x:f>QUARTILE.INC('Base_Datos'!$F$43:$F$80,3)</x:f>
        <x:v>26.75</x:v>
      </x:c>
      <x:c r="J10" s="44" t="n">
        <x:f>I10-H10</x:f>
        <x:v>9.5</x:v>
      </x:c>
      <x:c r="K10" s="44" t="n">
        <x:f>MAX('Base_Datos'!$F$43:$F$80)</x:f>
        <x:v>61</x:v>
      </x:c>
      <x:c r="L10" s="44" t="n">
        <x:f>SKEW('Base_Datos'!$F$43:$F$80)</x:f>
        <x:v>1.6780722384849271</x:v>
      </x:c>
      <x:c r="M10" s="44" t="n">
        <x:f>KURT('Base_Datos'!$F$43:$F$80)</x:f>
        <x:v>1.941520070576325</x:v>
      </x:c>
      <x:c r="N10" s="46" t="n">
        <x:f>SUMPRODUCT(--('Base_Datos'!$F$43:$F$80&lt;($H10-1.5*$J10)))+SUMPRODUCT(--('Base_Datos'!$F$43:$F$80&gt;($I10+1.5*$J10)))</x:f>
        <x:v>5</x:v>
      </x:c>
    </x:row>
    <x:row r="13">
      <x:c r="A13" s="52" t="str">
        <x:v>Grupo</x:v>
      </x:c>
      <x:c r="B13" s="52" t="str">
        <x:v>Media Pre</x:v>
      </x:c>
      <x:c r="C13" s="52" t="str">
        <x:v>Media Pos</x:v>
      </x:c>
      <x:c r="D13" s="52" t="str">
        <x:v>Ganancia media</x:v>
      </x:c>
    </x:row>
    <x:row r="14">
      <x:c r="A14" s="22" t="str">
        <x:v>Control</x:v>
      </x:c>
      <x:c r="B14" s="44" t="n">
        <x:f>C5</x:f>
        <x:v>50.1578947368421</x:v>
      </x:c>
      <x:c r="C14" s="44" t="n">
        <x:f>C7</x:f>
        <x:v>50.973684210526315</x:v>
      </x:c>
      <x:c r="D14" s="44" t="n">
        <x:f>C9</x:f>
        <x:v>0.8157894736842105</x:v>
      </x:c>
    </x:row>
    <x:row r="15">
      <x:c r="A15" s="22" t="str">
        <x:v>Experimental</x:v>
      </x:c>
      <x:c r="B15" s="44" t="n">
        <x:f>C6</x:f>
        <x:v>50.10526315789474</x:v>
      </x:c>
      <x:c r="C15" s="44" t="n">
        <x:f>C8</x:f>
        <x:v>75.44736842105263</x:v>
      </x:c>
      <x:c r="D15" s="44" t="n">
        <x:f>C10</x:f>
        <x:v>25.342105263157894</x:v>
      </x:c>
    </x:row>
  </x:sheetData>
  <x:mergeCells>
    <x:mergeCell ref="A1:N1"/>
    <x:mergeCell ref="A2:N2"/>
  </x:mergeCells>
  <x:pageMargins left="0.7" right="0.7" top="0.75" bottom="0.75" header="0.3" footer="0.3"/>
  <x:drawing xmlns:r="http://schemas.openxmlformats.org/officeDocument/2006/relationships" r:id="Rf6157c2e6f1442f1"/>
  <x:tableParts count="2">
    <x:tablePart xmlns:r="http://schemas.openxmlformats.org/officeDocument/2006/relationships" r:id="R720d4151b84541ef"/>
    <x:tablePart xmlns:r="http://schemas.openxmlformats.org/officeDocument/2006/relationships" r:id="Rf5979f83015540d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16" hidden="0" customWidth="1"/>
    <x:col min="4" max="4" width="28" hidden="0" customWidth="1"/>
    <x:col min="5" max="5" width="58" hidden="0" customWidth="1"/>
    <x:col min="7" max="7" width="36" hidden="0" customWidth="1"/>
    <x:col min="8" max="8" width="60" hidden="0" customWidth="1"/>
  </x:cols>
  <x:sheetData>
    <x:row r="1">
      <x:c r="A1" s="4" t="str">
        <x:v>Verificación docente del diseño de los datos</x:v>
      </x:c>
      <x:c r="B1" s="4"/>
      <x:c r="C1" s="4"/>
      <x:c r="D1" s="4"/>
      <x:c r="E1" s="4"/>
    </x:row>
    <x:row r="2" ht="36" customHeight="1">
      <x:c r="A2" s="9" t="str">
        <x:v>Esta hoja resume por qué la base cumple los criterios solicitados. Puede ocultarse o retirarse antes de entregar el archivo a estudiantes.</x:v>
      </x:c>
      <x:c r="B2" s="9"/>
      <x:c r="C2" s="9"/>
      <x:c r="D2" s="9"/>
      <x:c r="E2" s="9"/>
    </x:row>
    <x:row r="4">
      <x:c r="A4" s="16" t="str">
        <x:v>Bloque</x:v>
      </x:c>
      <x:c r="B4" s="16" t="str">
        <x:v>Prueba / criterio</x:v>
      </x:c>
      <x:c r="C4" s="16" t="str">
        <x:v>p</x:v>
      </x:c>
      <x:c r="D4" s="16" t="str">
        <x:v>Conclusión</x:v>
      </x:c>
      <x:c r="E4" s="16" t="str">
        <x:v>Nota docente</x:v>
      </x:c>
      <x:c r="G4" s="16" t="str">
        <x:v>Requisito solicitado</x:v>
      </x:c>
      <x:c r="H4" s="16" t="str">
        <x:v>Cómo queda en la base</x:v>
      </x:c>
    </x:row>
    <x:row r="5">
      <x:c r="A5" s="29" t="str">
        <x:v>Normalidad</x:v>
      </x:c>
      <x:c r="B5" s="29" t="str">
        <x:v>Shapiro-Wilk Pre control</x:v>
      </x:c>
      <x:c r="C5" s="60" t="n">
        <x:v>0.0009535376305348709</x:v>
      </x:c>
      <x:c r="D5" s="29" t="str">
        <x:v>No normal</x:v>
      </x:c>
      <x:c r="E5" s="29" t="str">
        <x:v>p &lt; .05; hay outliers bajos y asimetría negativa.</x:v>
      </x:c>
      <x:c r="G5" s="29" t="str">
        <x:v>Pre control y pre experimental similares</x:v>
      </x:c>
      <x:c r="H5" s="29" t="str">
        <x:v>Medias y medianas casi iguales; Mann-Whitney U p ≈ .988.</x:v>
      </x:c>
    </x:row>
    <x:row r="6">
      <x:c r="A6" s="29" t="str">
        <x:v>Normalidad</x:v>
      </x:c>
      <x:c r="B6" s="29" t="str">
        <x:v>Shapiro-Wilk Pre experimental</x:v>
      </x:c>
      <x:c r="C6" s="60" t="n">
        <x:v>0.0008052024786077439</x:v>
      </x:c>
      <x:c r="D6" s="29" t="str">
        <x:v>No normal</x:v>
      </x:c>
      <x:c r="E6" s="29" t="str">
        <x:v>Muy similar al pre control; p &lt; .05.</x:v>
      </x:c>
      <x:c r="G6" s="29" t="str">
        <x:v>Pre con alta dispersión, outliers y no normalidad</x:v>
      </x:c>
      <x:c r="H6" s="29" t="str">
        <x:v>Ambos pre tienen DE ≈ 19.5-19.9, outliers bajos y Shapiro p &lt; .001.</x:v>
      </x:c>
    </x:row>
    <x:row r="7">
      <x:c r="A7" s="29" t="str">
        <x:v>Normalidad</x:v>
      </x:c>
      <x:c r="B7" s="29" t="str">
        <x:v>Shapiro-Wilk Pos control</x:v>
      </x:c>
      <x:c r="C7" s="60" t="n">
        <x:v>0.0034839500785365093</x:v>
      </x:c>
      <x:c r="D7" s="29" t="str">
        <x:v>No normal</x:v>
      </x:c>
      <x:c r="E7" s="29" t="str">
        <x:v>Sigue con alta dispersión y outliers bajos.</x:v>
      </x:c>
      <x:c r="G7" s="29" t="str">
        <x:v>Pos control no normal y con mejora leve</x:v>
      </x:c>
      <x:c r="H7" s="29" t="str">
        <x:v>Media y mediana suben levemente; Wilcoxon p ≈ .195, no significativo.</x:v>
      </x:c>
    </x:row>
    <x:row r="8">
      <x:c r="A8" s="29" t="str">
        <x:v>Normalidad</x:v>
      </x:c>
      <x:c r="B8" s="29" t="str">
        <x:v>Shapiro-Wilk Pos experimental</x:v>
      </x:c>
      <x:c r="C8" s="60" t="n">
        <x:v>0.9216385231634786</x:v>
      </x:c>
      <x:c r="D8" s="29" t="str">
        <x:v>Normal</x:v>
      </x:c>
      <x:c r="E8" s="29" t="str">
        <x:v>p &gt; .05; dispersión menor y sin outliers por criterio Tukey.</x:v>
      </x:c>
      <x:c r="G8" s="29" t="str">
        <x:v>Pos experimental con mejora clara</x:v>
      </x:c>
      <x:c r="H8" s="29" t="str">
        <x:v>Media ≈ 75.45; Wilcoxon p &lt; .001.</x:v>
      </x:c>
    </x:row>
    <x:row r="9">
      <x:c r="A9" s="29" t="str">
        <x:v>Equivalencia inicial</x:v>
      </x:c>
      <x:c r="B9" s="29" t="str">
        <x:v>Mann-Whitney U: pre control vs pre experimental</x:v>
      </x:c>
      <x:c r="C9" s="60" t="n">
        <x:v>0.987564464989423</x:v>
      </x:c>
      <x:c r="D9" s="29" t="str">
        <x:v>Sin diferencia significativa</x:v>
      </x:c>
      <x:c r="E9" s="29" t="str">
        <x:v>Los grupos inician con distribuciones muy parecidas.</x:v>
      </x:c>
      <x:c r="G9" s="29" t="str">
        <x:v>Pos experimental normal, sin outliers y menos disperso</x:v>
      </x:c>
      <x:c r="H9" s="29" t="str">
        <x:v>Shapiro p ≈ .922, DE ≈ 6.66, sin outliers Tukey.</x:v>
      </x:c>
    </x:row>
    <x:row r="10">
      <x:c r="A10" s="29" t="str">
        <x:v>Control pre-pos</x:v>
      </x:c>
      <x:c r="B10" s="29" t="str">
        <x:v>Wilcoxon pareada: pre vs pos control</x:v>
      </x:c>
      <x:c r="C10" s="60" t="n">
        <x:v>0.195408929105363</x:v>
      </x:c>
      <x:c r="D10" s="29" t="str">
        <x:v>Sin diferencia significativa</x:v>
      </x:c>
      <x:c r="E10" s="29" t="str">
        <x:v>Tendencia central ligeramente superior en pos, pero no significativa.</x:v>
      </x:c>
    </x:row>
    <x:row r="11">
      <x:c r="A11" s="29" t="str">
        <x:v>Experimental pre-pos</x:v>
      </x:c>
      <x:c r="B11" s="29" t="str">
        <x:v>Wilcoxon pareada: pre vs pos experimental</x:v>
      </x:c>
      <x:c r="C11" s="60" t="n">
        <x:v>7.679281788543987e-8</x:v>
      </x:c>
      <x:c r="D11" s="29" t="str">
        <x:v>Diferencia significativa</x:v>
      </x:c>
      <x:c r="E11" s="29" t="str">
        <x:v>La tendencia central aumenta de forma marcada.</x:v>
      </x:c>
    </x:row>
    <x:row r="12">
      <x:c r="A12" s="29" t="str">
        <x:v>Comparación pos</x:v>
      </x:c>
      <x:c r="B12" s="29" t="str">
        <x:v>Mann-Whitney U: pos control vs pos experimental</x:v>
      </x:c>
      <x:c r="C12" s="60" t="n">
        <x:v>3.346270228629519e-10</x:v>
      </x:c>
      <x:c r="D12" s="29" t="str">
        <x:v>Diferencia significativa</x:v>
      </x:c>
      <x:c r="E12" s="29" t="str">
        <x:v>El grupo experimental supera al control en el pos.</x:v>
      </x:c>
    </x:row>
    <x:row r="15">
      <x:c r="A15" s="16" t="str">
        <x:v>Variable</x:v>
      </x:c>
      <x:c r="B15" s="16" t="str">
        <x:v>Outliers detectados por criterio Tukey</x:v>
      </x:c>
    </x:row>
    <x:row r="16">
      <x:c r="A16" s="29" t="str">
        <x:v>Pre_Control</x:v>
      </x:c>
      <x:c r="B16" s="29" t="str">
        <x:v>11, 5, 2, 8, 14</x:v>
      </x:c>
    </x:row>
    <x:row r="17">
      <x:c r="A17" s="29" t="str">
        <x:v>Pre_Experimental</x:v>
      </x:c>
      <x:c r="B17" s="29" t="str">
        <x:v>10, 7, 1, 13, 4</x:v>
      </x:c>
    </x:row>
    <x:row r="18">
      <x:c r="A18" s="29" t="str">
        <x:v>Pos_Control</x:v>
      </x:c>
      <x:c r="B18" s="29" t="str">
        <x:v>13, 6, 4, 11, 15</x:v>
      </x:c>
    </x:row>
    <x:row r="19">
      <x:c r="A19" s="29" t="str">
        <x:v>Pos_Experimental</x:v>
      </x:c>
      <x:c r="B19" s="29" t="str">
        <x:v>Ninguno</x:v>
      </x:c>
    </x:row>
  </x:sheetData>
  <x:mergeCells>
    <x:mergeCell ref="A1:E1"/>
    <x:mergeCell ref="A2:E2"/>
  </x:mergeCells>
  <x:pageMargins left="0.7" right="0.7" top="0.75" bottom="0.75" header="0.3" footer="0.3"/>
  <x:tableParts count="3">
    <x:tablePart xmlns:r="http://schemas.openxmlformats.org/officeDocument/2006/relationships" r:id="R03b8be0af142400c"/>
    <x:tablePart xmlns:r="http://schemas.openxmlformats.org/officeDocument/2006/relationships" r:id="Rf45231e45f24401f"/>
    <x:tablePart xmlns:r="http://schemas.openxmlformats.org/officeDocument/2006/relationships" r:id="Rfe61041cecce4c6f"/>
  </x:tableParts>
</x:worksheet>
</file>